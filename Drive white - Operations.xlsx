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ndor\Documents\PORTFOLIO\"/>
    </mc:Choice>
  </mc:AlternateContent>
  <xr:revisionPtr revIDLastSave="0" documentId="13_ncr:1_{C109CD12-E562-4F5F-9A98-0B5340F44734}" xr6:coauthVersionLast="47" xr6:coauthVersionMax="47" xr10:uidLastSave="{00000000-0000-0000-0000-000000000000}"/>
  <bookViews>
    <workbookView xWindow="-108" yWindow="492" windowWidth="23256" windowHeight="12576" tabRatio="854" activeTab="4" xr2:uid="{00000000-000D-0000-FFFF-FFFF00000000}"/>
  </bookViews>
  <sheets>
    <sheet name="OPERATIONS BRAIN" sheetId="14" r:id="rId1"/>
    <sheet name="LISTA DE PENDIENTES" sheetId="11" r:id="rId2"/>
    <sheet name="Estado de Proyectos" sheetId="13" r:id="rId3"/>
    <sheet name="Bitacora" sheetId="5" r:id="rId4"/>
    <sheet name="RAW DATA PROYECTS" sheetId="1" r:id="rId5"/>
    <sheet name="Calculos Material" sheetId="6" r:id="rId6"/>
    <sheet name="Consumo Material" sheetId="10" r:id="rId7"/>
    <sheet name="Inventario Base" sheetId="8" r:id="rId8"/>
    <sheet name="Inventario E-S" sheetId="2" r:id="rId9"/>
    <sheet name="Proveedores" sheetId="3" r:id="rId10"/>
    <sheet name="Instrucciones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3" l="1"/>
  <c r="I10" i="13" s="1"/>
  <c r="F11" i="13"/>
  <c r="I11" i="13" s="1"/>
  <c r="F12" i="13"/>
  <c r="I12" i="13" s="1"/>
  <c r="F13" i="13"/>
  <c r="I13" i="13" s="1"/>
  <c r="F14" i="13"/>
  <c r="I14" i="13" s="1"/>
  <c r="F15" i="13"/>
  <c r="I15" i="13" s="1"/>
  <c r="F16" i="13"/>
  <c r="I16" i="13" s="1"/>
  <c r="F17" i="13"/>
  <c r="I17" i="13" s="1"/>
  <c r="F18" i="13"/>
  <c r="I18" i="13" s="1"/>
  <c r="F19" i="13"/>
  <c r="I19" i="13" s="1"/>
  <c r="F20" i="13"/>
  <c r="I20" i="13" s="1"/>
  <c r="F21" i="13"/>
  <c r="I21" i="13" s="1"/>
  <c r="F22" i="13"/>
  <c r="I22" i="13" s="1"/>
  <c r="F23" i="13"/>
  <c r="I23" i="13" s="1"/>
  <c r="F24" i="13"/>
  <c r="I24" i="13" s="1"/>
  <c r="F25" i="13"/>
  <c r="I25" i="13" s="1"/>
  <c r="F26" i="13"/>
  <c r="I26" i="13" s="1"/>
  <c r="F27" i="13"/>
  <c r="I27" i="13" s="1"/>
  <c r="F28" i="13"/>
  <c r="I28" i="13" s="1"/>
  <c r="F29" i="13"/>
  <c r="I29" i="13" s="1"/>
  <c r="F30" i="13"/>
  <c r="I30" i="13" s="1"/>
  <c r="F31" i="13"/>
  <c r="I31" i="13" s="1"/>
  <c r="F32" i="13"/>
  <c r="I32" i="13" s="1"/>
  <c r="F33" i="13"/>
  <c r="I33" i="13" s="1"/>
  <c r="F34" i="13"/>
  <c r="I34" i="13" s="1"/>
  <c r="F35" i="13"/>
  <c r="I35" i="13" s="1"/>
  <c r="F36" i="13"/>
  <c r="I36" i="13" s="1"/>
  <c r="F37" i="13"/>
  <c r="I37" i="13" s="1"/>
  <c r="F38" i="13"/>
  <c r="I38" i="13" s="1"/>
  <c r="F39" i="13"/>
  <c r="I39" i="13" s="1"/>
  <c r="F40" i="13"/>
  <c r="I40" i="13" s="1"/>
  <c r="F41" i="13"/>
  <c r="I41" i="13" s="1"/>
  <c r="F42" i="13"/>
  <c r="I42" i="13" s="1"/>
  <c r="F43" i="13"/>
  <c r="I43" i="13" s="1"/>
  <c r="F44" i="13"/>
  <c r="I44" i="13" s="1"/>
  <c r="F45" i="13"/>
  <c r="I45" i="13" s="1"/>
  <c r="F46" i="13"/>
  <c r="I46" i="13" s="1"/>
  <c r="F47" i="13"/>
  <c r="I47" i="13" s="1"/>
  <c r="F48" i="13"/>
  <c r="I48" i="13" s="1"/>
  <c r="F49" i="13"/>
  <c r="I49" i="13" s="1"/>
  <c r="F50" i="13"/>
  <c r="I50" i="13" s="1"/>
  <c r="F51" i="13"/>
  <c r="I51" i="13" s="1"/>
  <c r="F52" i="13"/>
  <c r="I52" i="13" s="1"/>
  <c r="F53" i="13"/>
  <c r="I53" i="13" s="1"/>
  <c r="F54" i="13"/>
  <c r="I54" i="13" s="1"/>
  <c r="F55" i="13"/>
  <c r="I55" i="13" s="1"/>
  <c r="F56" i="13"/>
  <c r="I56" i="13" s="1"/>
  <c r="F57" i="13"/>
  <c r="I57" i="13" s="1"/>
  <c r="F58" i="13"/>
  <c r="I58" i="13" s="1"/>
  <c r="F59" i="13"/>
  <c r="I59" i="13" s="1"/>
  <c r="F60" i="13"/>
  <c r="I60" i="13" s="1"/>
  <c r="F4" i="13"/>
  <c r="I4" i="13" s="1"/>
  <c r="F5" i="13"/>
  <c r="I5" i="13" s="1"/>
  <c r="F6" i="13"/>
  <c r="I6" i="13" s="1"/>
  <c r="F7" i="13"/>
  <c r="I7" i="13" s="1"/>
  <c r="F8" i="13"/>
  <c r="I8" i="13" s="1"/>
  <c r="F9" i="13"/>
  <c r="I9" i="13" s="1"/>
  <c r="B10" i="13"/>
  <c r="D10" i="13" s="1" a="1"/>
  <c r="D10" i="13" s="1"/>
  <c r="B11" i="13"/>
  <c r="D11" i="13" s="1" a="1"/>
  <c r="D11" i="13" s="1"/>
  <c r="B18" i="13"/>
  <c r="D18" i="13" s="1" a="1"/>
  <c r="D18" i="13" s="1"/>
  <c r="B19" i="13"/>
  <c r="D19" i="13" s="1" a="1"/>
  <c r="D19" i="13" s="1"/>
  <c r="B26" i="13"/>
  <c r="D26" i="13" s="1" a="1"/>
  <c r="D26" i="13" s="1"/>
  <c r="B27" i="13"/>
  <c r="D27" i="13" s="1" a="1"/>
  <c r="D27" i="13" s="1"/>
  <c r="B34" i="13"/>
  <c r="D34" i="13" s="1" a="1"/>
  <c r="D34" i="13" s="1"/>
  <c r="B35" i="13"/>
  <c r="D35" i="13" s="1" a="1"/>
  <c r="D35" i="13" s="1"/>
  <c r="B42" i="13"/>
  <c r="D42" i="13" s="1" a="1"/>
  <c r="D42" i="13" s="1"/>
  <c r="B43" i="13"/>
  <c r="D43" i="13" s="1" a="1"/>
  <c r="D43" i="13" s="1"/>
  <c r="B50" i="13"/>
  <c r="D50" i="13" s="1" a="1"/>
  <c r="D50" i="13" s="1"/>
  <c r="B51" i="13"/>
  <c r="D51" i="13" s="1" a="1"/>
  <c r="D51" i="13" s="1"/>
  <c r="B58" i="13"/>
  <c r="D58" i="13" s="1" a="1"/>
  <c r="D58" i="13" s="1"/>
  <c r="B59" i="13"/>
  <c r="D59" i="13" s="1" a="1"/>
  <c r="D59" i="13" s="1"/>
  <c r="A4" i="13"/>
  <c r="B4" i="13" s="1"/>
  <c r="A5" i="13"/>
  <c r="B5" i="13" s="1"/>
  <c r="A6" i="13"/>
  <c r="B6" i="13" s="1"/>
  <c r="A7" i="13"/>
  <c r="B7" i="13" s="1"/>
  <c r="A8" i="13"/>
  <c r="B8" i="13" s="1"/>
  <c r="A9" i="13"/>
  <c r="B9" i="13" s="1"/>
  <c r="A10" i="13"/>
  <c r="A11" i="13"/>
  <c r="A12" i="13"/>
  <c r="B12" i="13" s="1"/>
  <c r="A13" i="13"/>
  <c r="B13" i="13" s="1"/>
  <c r="A14" i="13"/>
  <c r="B14" i="13" s="1"/>
  <c r="A15" i="13"/>
  <c r="B15" i="13" s="1"/>
  <c r="A16" i="13"/>
  <c r="B16" i="13" s="1"/>
  <c r="A17" i="13"/>
  <c r="B17" i="13" s="1"/>
  <c r="A18" i="13"/>
  <c r="A19" i="13"/>
  <c r="A20" i="13"/>
  <c r="B20" i="13" s="1"/>
  <c r="A21" i="13"/>
  <c r="B21" i="13" s="1"/>
  <c r="A22" i="13"/>
  <c r="B22" i="13" s="1"/>
  <c r="A23" i="13"/>
  <c r="B23" i="13" s="1"/>
  <c r="A24" i="13"/>
  <c r="B24" i="13" s="1"/>
  <c r="A25" i="13"/>
  <c r="B25" i="13" s="1"/>
  <c r="A26" i="13"/>
  <c r="A27" i="13"/>
  <c r="A28" i="13"/>
  <c r="B28" i="13" s="1"/>
  <c r="A29" i="13"/>
  <c r="B29" i="13" s="1"/>
  <c r="A30" i="13"/>
  <c r="B30" i="13" s="1"/>
  <c r="A31" i="13"/>
  <c r="B31" i="13" s="1"/>
  <c r="A32" i="13"/>
  <c r="B32" i="13" s="1"/>
  <c r="A33" i="13"/>
  <c r="B33" i="13" s="1"/>
  <c r="A34" i="13"/>
  <c r="A35" i="13"/>
  <c r="A36" i="13"/>
  <c r="B36" i="13" s="1"/>
  <c r="A37" i="13"/>
  <c r="B37" i="13" s="1"/>
  <c r="A38" i="13"/>
  <c r="B38" i="13" s="1"/>
  <c r="A39" i="13"/>
  <c r="B39" i="13" s="1"/>
  <c r="A40" i="13"/>
  <c r="B40" i="13" s="1"/>
  <c r="A41" i="13"/>
  <c r="B41" i="13" s="1"/>
  <c r="A42" i="13"/>
  <c r="A43" i="13"/>
  <c r="A44" i="13"/>
  <c r="B44" i="13" s="1"/>
  <c r="A45" i="13"/>
  <c r="B45" i="13" s="1"/>
  <c r="A46" i="13"/>
  <c r="B46" i="13" s="1"/>
  <c r="A47" i="13"/>
  <c r="B47" i="13" s="1"/>
  <c r="A48" i="13"/>
  <c r="B48" i="13" s="1"/>
  <c r="A49" i="13"/>
  <c r="B49" i="13" s="1"/>
  <c r="A50" i="13"/>
  <c r="A51" i="13"/>
  <c r="A52" i="13"/>
  <c r="B52" i="13" s="1"/>
  <c r="A53" i="13"/>
  <c r="B53" i="13" s="1"/>
  <c r="A54" i="13"/>
  <c r="B54" i="13" s="1"/>
  <c r="A55" i="13"/>
  <c r="B55" i="13" s="1"/>
  <c r="A56" i="13"/>
  <c r="B56" i="13" s="1"/>
  <c r="A57" i="13"/>
  <c r="B57" i="13" s="1"/>
  <c r="A58" i="13"/>
  <c r="A59" i="13"/>
  <c r="A60" i="13"/>
  <c r="B60" i="13" s="1"/>
  <c r="F3" i="13"/>
  <c r="I3" i="13" s="1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A28" i="14" a="1"/>
  <c r="A28" i="14" s="1"/>
  <c r="B28" i="14" s="1" a="1"/>
  <c r="B28" i="14" s="1"/>
  <c r="A2" i="14"/>
  <c r="D37" i="5"/>
  <c r="A3" i="13"/>
  <c r="B3" i="13" s="1"/>
  <c r="N4" i="5"/>
  <c r="N5" i="5" s="1"/>
  <c r="N6" i="5" s="1"/>
  <c r="N7" i="5" s="1"/>
  <c r="N8" i="5" s="1"/>
  <c r="N9" i="5" s="1"/>
  <c r="N10" i="5" s="1"/>
  <c r="N11" i="5" s="1"/>
  <c r="N12" i="5" s="1"/>
  <c r="G4" i="8"/>
  <c r="G5" i="8"/>
  <c r="G6" i="8"/>
  <c r="G7" i="8"/>
  <c r="G8" i="8"/>
  <c r="G9" i="8"/>
  <c r="G10" i="8"/>
  <c r="G11" i="8"/>
  <c r="G12" i="8"/>
  <c r="J12" i="8" s="1"/>
  <c r="G13" i="8"/>
  <c r="G14" i="8"/>
  <c r="G15" i="8"/>
  <c r="J15" i="8" s="1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3" i="8"/>
  <c r="J3" i="8" s="1"/>
  <c r="J46" i="8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D39" i="5"/>
  <c r="D38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A2" i="10" a="1"/>
  <c r="A2" i="10" s="1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8" i="6"/>
  <c r="J49" i="6"/>
  <c r="B3" i="10"/>
  <c r="H3" i="10" s="1"/>
  <c r="I3" i="10" s="1"/>
  <c r="B4" i="10"/>
  <c r="H4" i="10" s="1"/>
  <c r="I4" i="10" s="1"/>
  <c r="B5" i="10"/>
  <c r="H5" i="10" s="1"/>
  <c r="B6" i="10"/>
  <c r="H6" i="10" s="1"/>
  <c r="I6" i="10" s="1"/>
  <c r="B7" i="10"/>
  <c r="H7" i="10" s="1"/>
  <c r="I7" i="10" s="1"/>
  <c r="B8" i="10"/>
  <c r="H8" i="10" s="1"/>
  <c r="B9" i="10"/>
  <c r="B10" i="10"/>
  <c r="B11" i="10"/>
  <c r="H11" i="10" s="1"/>
  <c r="I11" i="10" s="1"/>
  <c r="B12" i="10"/>
  <c r="H12" i="10" s="1"/>
  <c r="I12" i="10" s="1"/>
  <c r="B13" i="10"/>
  <c r="H13" i="10" s="1"/>
  <c r="B14" i="10"/>
  <c r="H14" i="10" s="1"/>
  <c r="I14" i="10" s="1"/>
  <c r="B15" i="10"/>
  <c r="H15" i="10" s="1"/>
  <c r="I15" i="10" s="1"/>
  <c r="B16" i="10"/>
  <c r="H16" i="10" s="1"/>
  <c r="B17" i="10"/>
  <c r="H17" i="10" s="1"/>
  <c r="B18" i="10"/>
  <c r="B19" i="10"/>
  <c r="H19" i="10" s="1"/>
  <c r="I19" i="10" s="1"/>
  <c r="B20" i="10"/>
  <c r="H20" i="10" s="1"/>
  <c r="B21" i="10"/>
  <c r="H21" i="10" s="1"/>
  <c r="B22" i="10"/>
  <c r="H22" i="10" s="1"/>
  <c r="I22" i="10" s="1"/>
  <c r="B23" i="10"/>
  <c r="H23" i="10" s="1"/>
  <c r="I23" i="10" s="1"/>
  <c r="B24" i="10"/>
  <c r="H24" i="10" s="1"/>
  <c r="B25" i="10"/>
  <c r="H25" i="10" s="1"/>
  <c r="B26" i="10"/>
  <c r="B27" i="10"/>
  <c r="B28" i="10"/>
  <c r="B29" i="10"/>
  <c r="H29" i="10" s="1"/>
  <c r="B30" i="10"/>
  <c r="H30" i="10" s="1"/>
  <c r="I30" i="10" s="1"/>
  <c r="B31" i="10"/>
  <c r="H31" i="10" s="1"/>
  <c r="I31" i="10" s="1"/>
  <c r="B32" i="10"/>
  <c r="H32" i="10" s="1"/>
  <c r="B33" i="10"/>
  <c r="H33" i="10" s="1"/>
  <c r="B34" i="10"/>
  <c r="B35" i="10"/>
  <c r="H35" i="10" s="1"/>
  <c r="B36" i="10"/>
  <c r="H36" i="10" s="1"/>
  <c r="B37" i="10"/>
  <c r="H37" i="10" s="1"/>
  <c r="B38" i="10"/>
  <c r="H38" i="10" s="1"/>
  <c r="I38" i="10" s="1"/>
  <c r="B39" i="10"/>
  <c r="H39" i="10" s="1"/>
  <c r="I39" i="10" s="1"/>
  <c r="B40" i="10"/>
  <c r="H40" i="10" s="1"/>
  <c r="B41" i="10"/>
  <c r="B42" i="10"/>
  <c r="H42" i="10" s="1"/>
  <c r="B43" i="10"/>
  <c r="B44" i="10"/>
  <c r="B45" i="10"/>
  <c r="H45" i="10" s="1"/>
  <c r="B46" i="10"/>
  <c r="H46" i="10" s="1"/>
  <c r="I46" i="10" s="1"/>
  <c r="B48" i="10"/>
  <c r="H48" i="10" s="1"/>
  <c r="B49" i="10"/>
  <c r="H49" i="10" s="1"/>
  <c r="B2" i="10"/>
  <c r="H2" i="10" s="1"/>
  <c r="D18" i="5"/>
  <c r="D13" i="5"/>
  <c r="B3" i="2"/>
  <c r="I4" i="8"/>
  <c r="I5" i="8" s="1"/>
  <c r="I6" i="8" s="1"/>
  <c r="A4" i="8"/>
  <c r="A5" i="8" s="1"/>
  <c r="D4" i="5"/>
  <c r="D5" i="5"/>
  <c r="D6" i="5"/>
  <c r="D7" i="5"/>
  <c r="D8" i="5"/>
  <c r="D9" i="5"/>
  <c r="D10" i="5"/>
  <c r="D11" i="5"/>
  <c r="D12" i="5"/>
  <c r="D14" i="5"/>
  <c r="D15" i="5"/>
  <c r="D16" i="5"/>
  <c r="D17" i="5"/>
  <c r="D3" i="5"/>
  <c r="H47" i="6"/>
  <c r="B47" i="10" s="1"/>
  <c r="H47" i="10" s="1"/>
  <c r="I47" i="10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B33" i="14" l="1" a="1"/>
  <c r="B33" i="14" s="1"/>
  <c r="B32" i="14" a="1"/>
  <c r="B32" i="14" s="1"/>
  <c r="B31" i="14" a="1"/>
  <c r="B31" i="14" s="1"/>
  <c r="B30" i="14" a="1"/>
  <c r="B30" i="14" s="1"/>
  <c r="B29" i="14" a="1"/>
  <c r="B29" i="14" s="1"/>
  <c r="D57" i="13" a="1"/>
  <c r="D57" i="13" s="1"/>
  <c r="E57" i="13" a="1"/>
  <c r="E57" i="13" s="1"/>
  <c r="D49" i="13" a="1"/>
  <c r="D49" i="13" s="1"/>
  <c r="E49" i="13" a="1"/>
  <c r="E49" i="13" s="1"/>
  <c r="D41" i="13" a="1"/>
  <c r="D41" i="13" s="1"/>
  <c r="E41" i="13" a="1"/>
  <c r="E41" i="13" s="1"/>
  <c r="D33" i="13" a="1"/>
  <c r="D33" i="13" s="1"/>
  <c r="E33" i="13" a="1"/>
  <c r="E33" i="13" s="1"/>
  <c r="D25" i="13" a="1"/>
  <c r="D25" i="13" s="1"/>
  <c r="E25" i="13" a="1"/>
  <c r="E25" i="13" s="1"/>
  <c r="D17" i="13" a="1"/>
  <c r="D17" i="13" s="1"/>
  <c r="E17" i="13" a="1"/>
  <c r="E17" i="13" s="1"/>
  <c r="D9" i="13" a="1"/>
  <c r="D9" i="13" s="1"/>
  <c r="E9" i="13" a="1"/>
  <c r="E9" i="13" s="1"/>
  <c r="E56" i="13" a="1"/>
  <c r="E56" i="13" s="1"/>
  <c r="D56" i="13" a="1"/>
  <c r="D56" i="13" s="1"/>
  <c r="E48" i="13" a="1"/>
  <c r="E48" i="13" s="1"/>
  <c r="D48" i="13" a="1"/>
  <c r="D48" i="13" s="1"/>
  <c r="E40" i="13" a="1"/>
  <c r="E40" i="13" s="1"/>
  <c r="D40" i="13" a="1"/>
  <c r="D40" i="13" s="1"/>
  <c r="E32" i="13" a="1"/>
  <c r="E32" i="13" s="1"/>
  <c r="D32" i="13" a="1"/>
  <c r="D32" i="13" s="1"/>
  <c r="E24" i="13" a="1"/>
  <c r="E24" i="13" s="1"/>
  <c r="D24" i="13" a="1"/>
  <c r="D24" i="13" s="1"/>
  <c r="E16" i="13" a="1"/>
  <c r="E16" i="13" s="1"/>
  <c r="D16" i="13" a="1"/>
  <c r="D16" i="13" s="1"/>
  <c r="D8" i="13" a="1"/>
  <c r="D8" i="13" s="1"/>
  <c r="E8" i="13" a="1"/>
  <c r="E8" i="13" s="1"/>
  <c r="D55" i="13" a="1"/>
  <c r="D55" i="13" s="1"/>
  <c r="E55" i="13" a="1"/>
  <c r="E55" i="13" s="1"/>
  <c r="D47" i="13" a="1"/>
  <c r="D47" i="13" s="1"/>
  <c r="E47" i="13" a="1"/>
  <c r="E47" i="13" s="1"/>
  <c r="D39" i="13" a="1"/>
  <c r="D39" i="13" s="1"/>
  <c r="E39" i="13" a="1"/>
  <c r="E39" i="13" s="1"/>
  <c r="D31" i="13" a="1"/>
  <c r="D31" i="13" s="1"/>
  <c r="E31" i="13" a="1"/>
  <c r="E31" i="13" s="1"/>
  <c r="D23" i="13" a="1"/>
  <c r="D23" i="13" s="1"/>
  <c r="E23" i="13" a="1"/>
  <c r="E23" i="13" s="1"/>
  <c r="D15" i="13" a="1"/>
  <c r="D15" i="13" s="1"/>
  <c r="E15" i="13" a="1"/>
  <c r="E15" i="13" s="1"/>
  <c r="E7" i="13" a="1"/>
  <c r="E7" i="13" s="1"/>
  <c r="D7" i="13" a="1"/>
  <c r="D7" i="13" s="1"/>
  <c r="D54" i="13" a="1"/>
  <c r="D54" i="13" s="1"/>
  <c r="E54" i="13" a="1"/>
  <c r="E54" i="13" s="1"/>
  <c r="D46" i="13" a="1"/>
  <c r="D46" i="13" s="1"/>
  <c r="E46" i="13" a="1"/>
  <c r="E46" i="13" s="1"/>
  <c r="D38" i="13" a="1"/>
  <c r="D38" i="13" s="1"/>
  <c r="E38" i="13" a="1"/>
  <c r="E38" i="13" s="1"/>
  <c r="D30" i="13" a="1"/>
  <c r="D30" i="13" s="1"/>
  <c r="E30" i="13" a="1"/>
  <c r="E30" i="13" s="1"/>
  <c r="D22" i="13" a="1"/>
  <c r="D22" i="13" s="1"/>
  <c r="E22" i="13" a="1"/>
  <c r="E22" i="13" s="1"/>
  <c r="D14" i="13" a="1"/>
  <c r="D14" i="13" s="1"/>
  <c r="E14" i="13" a="1"/>
  <c r="E14" i="13" s="1"/>
  <c r="E6" i="13" a="1"/>
  <c r="E6" i="13" s="1"/>
  <c r="D6" i="13" a="1"/>
  <c r="D6" i="13" s="1"/>
  <c r="D53" i="13" a="1"/>
  <c r="D53" i="13" s="1"/>
  <c r="E53" i="13" a="1"/>
  <c r="E53" i="13" s="1"/>
  <c r="D45" i="13" a="1"/>
  <c r="D45" i="13" s="1"/>
  <c r="E45" i="13" a="1"/>
  <c r="E45" i="13" s="1"/>
  <c r="D37" i="13" a="1"/>
  <c r="D37" i="13" s="1"/>
  <c r="E37" i="13" a="1"/>
  <c r="E37" i="13" s="1"/>
  <c r="D29" i="13" a="1"/>
  <c r="D29" i="13" s="1"/>
  <c r="E29" i="13" a="1"/>
  <c r="E29" i="13" s="1"/>
  <c r="D21" i="13" a="1"/>
  <c r="D21" i="13" s="1"/>
  <c r="E21" i="13" a="1"/>
  <c r="E21" i="13" s="1"/>
  <c r="D13" i="13" a="1"/>
  <c r="D13" i="13" s="1"/>
  <c r="E13" i="13" a="1"/>
  <c r="E13" i="13" s="1"/>
  <c r="D5" i="13" a="1"/>
  <c r="D5" i="13" s="1"/>
  <c r="E5" i="13" a="1"/>
  <c r="E5" i="13" s="1"/>
  <c r="D60" i="13" a="1"/>
  <c r="D60" i="13" s="1"/>
  <c r="E60" i="13" a="1"/>
  <c r="E60" i="13" s="1"/>
  <c r="D52" i="13" a="1"/>
  <c r="D52" i="13" s="1"/>
  <c r="E52" i="13" a="1"/>
  <c r="E52" i="13" s="1"/>
  <c r="D44" i="13" a="1"/>
  <c r="D44" i="13" s="1"/>
  <c r="E44" i="13" a="1"/>
  <c r="E44" i="13" s="1"/>
  <c r="D36" i="13" a="1"/>
  <c r="D36" i="13" s="1"/>
  <c r="E36" i="13" a="1"/>
  <c r="E36" i="13" s="1"/>
  <c r="D28" i="13" a="1"/>
  <c r="D28" i="13" s="1"/>
  <c r="E28" i="13" a="1"/>
  <c r="E28" i="13" s="1"/>
  <c r="D20" i="13" a="1"/>
  <c r="D20" i="13" s="1"/>
  <c r="E20" i="13" a="1"/>
  <c r="E20" i="13" s="1"/>
  <c r="D12" i="13" a="1"/>
  <c r="D12" i="13" s="1"/>
  <c r="E12" i="13" a="1"/>
  <c r="E12" i="13" s="1"/>
  <c r="D4" i="13" a="1"/>
  <c r="D4" i="13" s="1"/>
  <c r="E4" i="13" a="1"/>
  <c r="E4" i="13" s="1"/>
  <c r="E58" i="13" a="1"/>
  <c r="E58" i="13" s="1"/>
  <c r="E50" i="13" a="1"/>
  <c r="E50" i="13" s="1"/>
  <c r="E42" i="13" a="1"/>
  <c r="E42" i="13" s="1"/>
  <c r="H42" i="13" s="1"/>
  <c r="E34" i="13" a="1"/>
  <c r="E34" i="13" s="1"/>
  <c r="G34" i="13" s="1"/>
  <c r="E26" i="13" a="1"/>
  <c r="E26" i="13" s="1"/>
  <c r="G26" i="13" s="1"/>
  <c r="E18" i="13" a="1"/>
  <c r="E18" i="13" s="1"/>
  <c r="H18" i="13" s="1"/>
  <c r="E10" i="13" a="1"/>
  <c r="E10" i="13" s="1"/>
  <c r="G10" i="13" s="1"/>
  <c r="E59" i="13" a="1"/>
  <c r="E59" i="13" s="1"/>
  <c r="H59" i="13" s="1"/>
  <c r="E51" i="13" a="1"/>
  <c r="E51" i="13" s="1"/>
  <c r="E43" i="13" a="1"/>
  <c r="E43" i="13" s="1"/>
  <c r="G43" i="13" s="1"/>
  <c r="E35" i="13" a="1"/>
  <c r="E35" i="13" s="1"/>
  <c r="G35" i="13" s="1"/>
  <c r="E27" i="13" a="1"/>
  <c r="E27" i="13" s="1"/>
  <c r="G27" i="13" s="1"/>
  <c r="E19" i="13" a="1"/>
  <c r="E19" i="13" s="1"/>
  <c r="G19" i="13" s="1"/>
  <c r="E11" i="13" a="1"/>
  <c r="E11" i="13" s="1"/>
  <c r="G11" i="13" s="1"/>
  <c r="H33" i="13"/>
  <c r="G33" i="13"/>
  <c r="H46" i="13"/>
  <c r="G46" i="13"/>
  <c r="H60" i="13"/>
  <c r="G60" i="13"/>
  <c r="G52" i="13"/>
  <c r="H52" i="13"/>
  <c r="H44" i="13"/>
  <c r="G44" i="13"/>
  <c r="G36" i="13"/>
  <c r="H36" i="13"/>
  <c r="H28" i="13"/>
  <c r="G28" i="13"/>
  <c r="G20" i="13"/>
  <c r="H20" i="13"/>
  <c r="G12" i="13"/>
  <c r="H12" i="13"/>
  <c r="H25" i="13"/>
  <c r="G25" i="13"/>
  <c r="G54" i="13"/>
  <c r="H54" i="13"/>
  <c r="H14" i="13"/>
  <c r="G14" i="13"/>
  <c r="H17" i="13"/>
  <c r="G17" i="13"/>
  <c r="G49" i="13"/>
  <c r="H49" i="13"/>
  <c r="G48" i="13"/>
  <c r="H48" i="13"/>
  <c r="H57" i="13"/>
  <c r="G57" i="13"/>
  <c r="G41" i="13"/>
  <c r="H41" i="13"/>
  <c r="H38" i="13"/>
  <c r="G38" i="13"/>
  <c r="G30" i="13"/>
  <c r="H30" i="13"/>
  <c r="H22" i="13"/>
  <c r="G22" i="13"/>
  <c r="H56" i="13"/>
  <c r="G56" i="13"/>
  <c r="H40" i="13"/>
  <c r="G40" i="13"/>
  <c r="G24" i="13"/>
  <c r="H24" i="13"/>
  <c r="G16" i="13"/>
  <c r="H16" i="13"/>
  <c r="G45" i="13"/>
  <c r="H45" i="13"/>
  <c r="H29" i="13"/>
  <c r="G29" i="13"/>
  <c r="H13" i="13"/>
  <c r="G13" i="13"/>
  <c r="H58" i="13"/>
  <c r="G58" i="13"/>
  <c r="H50" i="13"/>
  <c r="G50" i="13"/>
  <c r="H26" i="13"/>
  <c r="H51" i="13"/>
  <c r="G51" i="13"/>
  <c r="G32" i="13"/>
  <c r="H32" i="13"/>
  <c r="H53" i="13"/>
  <c r="G53" i="13"/>
  <c r="H37" i="13"/>
  <c r="G37" i="13"/>
  <c r="H21" i="13"/>
  <c r="G21" i="13"/>
  <c r="H55" i="13"/>
  <c r="G55" i="13"/>
  <c r="H47" i="13"/>
  <c r="G47" i="13"/>
  <c r="G39" i="13"/>
  <c r="H39" i="13"/>
  <c r="H31" i="13"/>
  <c r="G31" i="13"/>
  <c r="G23" i="13"/>
  <c r="H23" i="13"/>
  <c r="G15" i="13"/>
  <c r="H15" i="13"/>
  <c r="H5" i="13"/>
  <c r="G5" i="13"/>
  <c r="H8" i="13"/>
  <c r="G8" i="13"/>
  <c r="H7" i="13"/>
  <c r="G7" i="13"/>
  <c r="G4" i="13"/>
  <c r="H4" i="13"/>
  <c r="H6" i="13"/>
  <c r="G6" i="13"/>
  <c r="G9" i="13"/>
  <c r="H9" i="13"/>
  <c r="A6" i="8"/>
  <c r="B5" i="2"/>
  <c r="D3" i="13" a="1"/>
  <c r="D3" i="13" s="1"/>
  <c r="E3" i="13" a="1"/>
  <c r="E3" i="13" s="1"/>
  <c r="G3" i="13" s="1"/>
  <c r="J5" i="8"/>
  <c r="J6" i="8"/>
  <c r="J4" i="8"/>
  <c r="J47" i="6"/>
  <c r="I40" i="10"/>
  <c r="H41" i="10"/>
  <c r="I41" i="10" s="1"/>
  <c r="H9" i="10"/>
  <c r="I9" i="10" s="1"/>
  <c r="I25" i="10"/>
  <c r="I32" i="10"/>
  <c r="I16" i="10"/>
  <c r="I17" i="10"/>
  <c r="I24" i="10"/>
  <c r="I8" i="10"/>
  <c r="I45" i="10"/>
  <c r="I37" i="10"/>
  <c r="I29" i="10"/>
  <c r="I21" i="10"/>
  <c r="I13" i="10"/>
  <c r="I5" i="10"/>
  <c r="H44" i="10"/>
  <c r="I44" i="10" s="1"/>
  <c r="H28" i="10"/>
  <c r="I28" i="10" s="1"/>
  <c r="I49" i="10"/>
  <c r="I36" i="10"/>
  <c r="I20" i="10"/>
  <c r="H43" i="10"/>
  <c r="I43" i="10" s="1"/>
  <c r="H27" i="10"/>
  <c r="I27" i="10" s="1"/>
  <c r="I33" i="10"/>
  <c r="I48" i="10"/>
  <c r="I35" i="10"/>
  <c r="H34" i="10"/>
  <c r="I34" i="10" s="1"/>
  <c r="H26" i="10"/>
  <c r="I26" i="10" s="1"/>
  <c r="H18" i="10"/>
  <c r="I18" i="10" s="1"/>
  <c r="H10" i="10"/>
  <c r="I10" i="10" s="1"/>
  <c r="I42" i="10"/>
  <c r="I2" i="10"/>
  <c r="I7" i="8"/>
  <c r="J7" i="8" s="1"/>
  <c r="H34" i="13" l="1"/>
  <c r="G42" i="13"/>
  <c r="H43" i="13"/>
  <c r="G59" i="13"/>
  <c r="H10" i="13"/>
  <c r="H11" i="13"/>
  <c r="G18" i="13"/>
  <c r="H19" i="13"/>
  <c r="H27" i="13"/>
  <c r="H35" i="13"/>
  <c r="B6" i="2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B4" i="2"/>
  <c r="I8" i="8"/>
  <c r="J8" i="8" s="1"/>
  <c r="A47" i="8" l="1"/>
  <c r="A48" i="8" s="1"/>
  <c r="A49" i="8" s="1"/>
  <c r="A50" i="8" s="1"/>
  <c r="A51" i="8" s="1"/>
  <c r="A52" i="8" s="1"/>
  <c r="B7" i="2"/>
  <c r="C6" i="14"/>
  <c r="H3" i="13"/>
  <c r="C13" i="14" s="1" a="1"/>
  <c r="C13" i="14" s="1"/>
  <c r="I9" i="8"/>
  <c r="J9" i="8" s="1"/>
  <c r="C12" i="14" l="1" a="1"/>
  <c r="C12" i="14" s="1"/>
  <c r="C8" i="14"/>
  <c r="C7" i="14"/>
  <c r="I10" i="8"/>
  <c r="J10" i="8" s="1"/>
  <c r="I11" i="8" l="1"/>
  <c r="J11" i="8" s="1"/>
  <c r="I13" i="8" l="1"/>
  <c r="J13" i="8" s="1"/>
  <c r="I14" i="8" l="1"/>
  <c r="J14" i="8" s="1"/>
  <c r="I15" i="8" l="1"/>
  <c r="I16" i="8" l="1"/>
  <c r="J16" i="8" s="1"/>
  <c r="I17" i="8" l="1"/>
  <c r="J17" i="8" s="1"/>
  <c r="I18" i="8" l="1"/>
  <c r="J18" i="8" s="1"/>
  <c r="I19" i="8" l="1"/>
  <c r="J19" i="8" s="1"/>
  <c r="I20" i="8" l="1"/>
  <c r="J20" i="8" s="1"/>
  <c r="I21" i="8" l="1"/>
  <c r="J21" i="8" s="1"/>
  <c r="I22" i="8" l="1"/>
  <c r="J22" i="8" s="1"/>
  <c r="I23" i="8" l="1"/>
  <c r="J23" i="8" s="1"/>
  <c r="I24" i="8" l="1"/>
  <c r="J24" i="8" s="1"/>
  <c r="I25" i="8" l="1"/>
  <c r="J25" i="8" s="1"/>
  <c r="I26" i="8" l="1"/>
  <c r="J26" i="8" s="1"/>
  <c r="I27" i="8" l="1"/>
  <c r="J27" i="8" s="1"/>
  <c r="I28" i="8" l="1"/>
  <c r="J28" i="8" s="1"/>
  <c r="I29" i="8" l="1"/>
  <c r="J29" i="8" s="1"/>
  <c r="I30" i="8" l="1"/>
  <c r="J30" i="8" s="1"/>
  <c r="I31" i="8" l="1"/>
  <c r="J31" i="8" s="1"/>
  <c r="I32" i="8" l="1"/>
  <c r="J32" i="8" s="1"/>
  <c r="J33" i="8" l="1"/>
  <c r="I34" i="8" l="1"/>
  <c r="J34" i="8" s="1"/>
  <c r="I35" i="8" l="1"/>
  <c r="J35" i="8" s="1"/>
  <c r="I36" i="8" l="1"/>
  <c r="J36" i="8" s="1"/>
  <c r="I37" i="8" l="1"/>
  <c r="J37" i="8" s="1"/>
  <c r="I38" i="8" l="1"/>
  <c r="J38" i="8" s="1"/>
  <c r="I39" i="8" l="1"/>
  <c r="J39" i="8" s="1"/>
  <c r="I40" i="8" l="1"/>
  <c r="J40" i="8" s="1"/>
  <c r="I41" i="8" l="1"/>
  <c r="J41" i="8" s="1"/>
  <c r="I42" i="8" l="1"/>
  <c r="J42" i="8" s="1"/>
  <c r="I43" i="8" l="1"/>
  <c r="J43" i="8" s="1"/>
  <c r="I44" i="8" l="1"/>
  <c r="J44" i="8" s="1"/>
  <c r="I45" i="8" l="1"/>
  <c r="J45" i="8" s="1"/>
  <c r="I47" i="8" l="1"/>
  <c r="J47" i="8" s="1"/>
  <c r="I48" i="8" l="1"/>
  <c r="J48" i="8" s="1"/>
  <c r="I49" i="8" l="1"/>
  <c r="J49" i="8" s="1"/>
  <c r="I50" i="8" l="1"/>
  <c r="J50" i="8" s="1"/>
  <c r="I51" i="8" l="1"/>
  <c r="J51" i="8" s="1"/>
  <c r="I52" i="8" l="1"/>
  <c r="J52" i="8" s="1"/>
  <c r="C17" i="14" l="1"/>
  <c r="L30" i="14"/>
  <c r="C19" i="14"/>
  <c r="C18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<sst xmlns="http://schemas.openxmlformats.org/spreadsheetml/2006/main" count="1281" uniqueCount="417">
  <si>
    <t>Fecha Inicio</t>
  </si>
  <si>
    <t>Proyecto</t>
  </si>
  <si>
    <t>Tipo Pintura</t>
  </si>
  <si>
    <t>Notas</t>
  </si>
  <si>
    <t>Completo</t>
  </si>
  <si>
    <t>Categoría</t>
  </si>
  <si>
    <t>Producto</t>
  </si>
  <si>
    <t>Color/Tipo</t>
  </si>
  <si>
    <t>Unidad</t>
  </si>
  <si>
    <t>Estado</t>
  </si>
  <si>
    <t>Esmalte Blanco</t>
  </si>
  <si>
    <t>Thinner</t>
  </si>
  <si>
    <t>-</t>
  </si>
  <si>
    <t>Proveedor</t>
  </si>
  <si>
    <t>Contacto</t>
  </si>
  <si>
    <t>Teléfono</t>
  </si>
  <si>
    <t>Email</t>
  </si>
  <si>
    <t>Tiempo Entrega</t>
  </si>
  <si>
    <t>Precio Ref.</t>
  </si>
  <si>
    <t>Calificación</t>
  </si>
  <si>
    <t>Juan Pérez</t>
  </si>
  <si>
    <t>555-1234</t>
  </si>
  <si>
    <t>ventas@comex.com</t>
  </si>
  <si>
    <t>24 hrs</t>
  </si>
  <si>
    <t>$450/19L</t>
  </si>
  <si>
    <t>4 estrellas</t>
  </si>
  <si>
    <t>Dan factura</t>
  </si>
  <si>
    <t>Laca Premium</t>
  </si>
  <si>
    <t>María López</t>
  </si>
  <si>
    <t>555-5678</t>
  </si>
  <si>
    <t>info@sherwin.com</t>
  </si>
  <si>
    <t>48 hrs</t>
  </si>
  <si>
    <t>$800/19L</t>
  </si>
  <si>
    <t>5 estrellas</t>
  </si>
  <si>
    <t>Mejor calidad</t>
  </si>
  <si>
    <t>Carlos Gómez</t>
  </si>
  <si>
    <t>555-9012</t>
  </si>
  <si>
    <t>berel@berel.com</t>
  </si>
  <si>
    <t>$180/20L</t>
  </si>
  <si>
    <t>3 estrellas</t>
  </si>
  <si>
    <t>Económico</t>
  </si>
  <si>
    <t>SISTEMA DE GESTIÓN DE PINTURA</t>
  </si>
  <si>
    <t>INSTRUCCIONES DE USO:</t>
  </si>
  <si>
    <t>1. REGISTRO DE TRABAJOS:</t>
  </si>
  <si>
    <t xml:space="preserve">   • Al iniciar un proyecto, registra: fecha, proyecto, color, tipo de pintura y litros estimados</t>
  </si>
  <si>
    <t xml:space="preserve">   • Al terminar, actualiza: fecha fin y litros reales usados</t>
  </si>
  <si>
    <t xml:space="preserve">   • La columna Diferencia se calcula automáticamente</t>
  </si>
  <si>
    <t>2. INVENTARIO:</t>
  </si>
  <si>
    <t xml:space="preserve">   • Mantén actualizada la cantidad de cada producto</t>
  </si>
  <si>
    <t xml:space="preserve">   • La columna Estado alertará automáticamente si estás bajo el mínimo</t>
  </si>
  <si>
    <t xml:space="preserve">   • Actualiza la fecha cada vez que uses o recibas material</t>
  </si>
  <si>
    <t>3. PROVEEDORES:</t>
  </si>
  <si>
    <t xml:space="preserve">   • Registra todos tus proveedores con información de contacto</t>
  </si>
  <si>
    <t xml:space="preserve">   • Anota precios de referencia para comparar</t>
  </si>
  <si>
    <t xml:space="preserve">   • Califica según calidad, tiempo de entrega y servicio</t>
  </si>
  <si>
    <t>CONSEJOS:</t>
  </si>
  <si>
    <t xml:space="preserve">   • Registra TODOS los trabajos para tener datos precisos</t>
  </si>
  <si>
    <t xml:space="preserve">   • Actualiza el inventario diariamente</t>
  </si>
  <si>
    <t xml:space="preserve">   • Después de 2-3 semanas, analiza los patrones de consumo</t>
  </si>
  <si>
    <t xml:space="preserve">   • Usa los datos para hacer pedidos proactivos</t>
  </si>
  <si>
    <t>¡Éxito con tu sistema de gestión! 🎨</t>
  </si>
  <si>
    <t>Colores</t>
  </si>
  <si>
    <t>Materiales</t>
  </si>
  <si>
    <t>Codigos</t>
  </si>
  <si>
    <t>Jen Herself.</t>
  </si>
  <si>
    <t>Area</t>
  </si>
  <si>
    <t>Fireplace</t>
  </si>
  <si>
    <t>Seccion Trabajada</t>
  </si>
  <si>
    <t>MDF</t>
  </si>
  <si>
    <t>Simple White</t>
  </si>
  <si>
    <t>Mohawk</t>
  </si>
  <si>
    <t>Dalerample</t>
  </si>
  <si>
    <t>Glacier White</t>
  </si>
  <si>
    <t>Via Romero</t>
  </si>
  <si>
    <t>Kitchen, Bathrooms</t>
  </si>
  <si>
    <t>Hardinger</t>
  </si>
  <si>
    <t>Envirolak</t>
  </si>
  <si>
    <t>Mahoney</t>
  </si>
  <si>
    <t>Juan</t>
  </si>
  <si>
    <t>Salvatierra</t>
  </si>
  <si>
    <t>Swiss Coffee</t>
  </si>
  <si>
    <t>Tipo</t>
  </si>
  <si>
    <t>Belesis</t>
  </si>
  <si>
    <t>Belagio</t>
  </si>
  <si>
    <t>Patrick</t>
  </si>
  <si>
    <t>Clarkin</t>
  </si>
  <si>
    <t>WhiteOak</t>
  </si>
  <si>
    <t>Clear40</t>
  </si>
  <si>
    <t>Kendall Charcoal</t>
  </si>
  <si>
    <t>Evo</t>
  </si>
  <si>
    <t>Clear Satin</t>
  </si>
  <si>
    <t>M25-026</t>
  </si>
  <si>
    <t>Smokey Tope</t>
  </si>
  <si>
    <t>Sherman</t>
  </si>
  <si>
    <t>Black Paint</t>
  </si>
  <si>
    <t>DUB 24-612 #2</t>
  </si>
  <si>
    <t>Brad</t>
  </si>
  <si>
    <t>Alder</t>
  </si>
  <si>
    <t>Hubring</t>
  </si>
  <si>
    <t>Packtor</t>
  </si>
  <si>
    <t>Silver Gray</t>
  </si>
  <si>
    <t>M25-061,2131-60</t>
  </si>
  <si>
    <t>Birch</t>
  </si>
  <si>
    <t>Stain  / Glaze</t>
  </si>
  <si>
    <t>Old Masters</t>
  </si>
  <si>
    <t>Nombre</t>
  </si>
  <si>
    <t>Codigo</t>
  </si>
  <si>
    <t>Saman Wood Stain.</t>
  </si>
  <si>
    <t>Golden Wheat 111</t>
  </si>
  <si>
    <t>Other</t>
  </si>
  <si>
    <t>Main Wax, Base Water</t>
  </si>
  <si>
    <t>Raw Umber</t>
  </si>
  <si>
    <t>M504-01436</t>
  </si>
  <si>
    <t>Bellagio</t>
  </si>
  <si>
    <t>SimpleWhite</t>
  </si>
  <si>
    <t>Stratigios</t>
  </si>
  <si>
    <t>White Dove</t>
  </si>
  <si>
    <t>Glazier Mohak</t>
  </si>
  <si>
    <t>San Francisco</t>
  </si>
  <si>
    <t>Walnaut</t>
  </si>
  <si>
    <t>Clear 40</t>
  </si>
  <si>
    <t>TM Brown Satin</t>
  </si>
  <si>
    <t>M394000</t>
  </si>
  <si>
    <t>Saman Wood Stain</t>
  </si>
  <si>
    <t>Shaw</t>
  </si>
  <si>
    <t>Pure White</t>
  </si>
  <si>
    <t>M25-080</t>
  </si>
  <si>
    <t>Jura</t>
  </si>
  <si>
    <t>Chantilly Lace</t>
  </si>
  <si>
    <t>OC-65, M25-085</t>
  </si>
  <si>
    <t>Mohak</t>
  </si>
  <si>
    <t>Glassier White</t>
  </si>
  <si>
    <t>M504-2026</t>
  </si>
  <si>
    <t>Emtage</t>
  </si>
  <si>
    <t>Natural Cream</t>
  </si>
  <si>
    <t>Flat</t>
  </si>
  <si>
    <t>Maihorana</t>
  </si>
  <si>
    <t>ECL-0010-5</t>
  </si>
  <si>
    <t>ECL-0030-5</t>
  </si>
  <si>
    <t>Braker</t>
  </si>
  <si>
    <t>Kitchen</t>
  </si>
  <si>
    <t>Laundry</t>
  </si>
  <si>
    <t>Hall Bath</t>
  </si>
  <si>
    <t>Primary Bath</t>
  </si>
  <si>
    <t>Maple</t>
  </si>
  <si>
    <t>Cherry</t>
  </si>
  <si>
    <t>Base 4</t>
  </si>
  <si>
    <t>Early American</t>
  </si>
  <si>
    <t>Numero</t>
  </si>
  <si>
    <t>PENDING</t>
  </si>
  <si>
    <t>Burton</t>
  </si>
  <si>
    <t>Colonial</t>
  </si>
  <si>
    <t>Juan Farias</t>
  </si>
  <si>
    <t>Swiss Coffe</t>
  </si>
  <si>
    <t>BlackWell</t>
  </si>
  <si>
    <t xml:space="preserve">Via Romero </t>
  </si>
  <si>
    <t>Aravind</t>
  </si>
  <si>
    <t xml:space="preserve">Fresh Olive </t>
  </si>
  <si>
    <t>Jet  Black</t>
  </si>
  <si>
    <t>Eucalyptus</t>
  </si>
  <si>
    <t>Satin</t>
  </si>
  <si>
    <t>Feather Gray</t>
  </si>
  <si>
    <t>M26-003, 2127-60</t>
  </si>
  <si>
    <t>Liane</t>
  </si>
  <si>
    <t xml:space="preserve">Evo </t>
  </si>
  <si>
    <t>Harrison</t>
  </si>
  <si>
    <t>Gel Drak Mahogany</t>
  </si>
  <si>
    <t>Sq/ft Cabs</t>
  </si>
  <si>
    <t>Sq/ft Door</t>
  </si>
  <si>
    <t>Rango Tecnico</t>
  </si>
  <si>
    <t>Expectativa</t>
  </si>
  <si>
    <t>Diferencia</t>
  </si>
  <si>
    <t>Preparado</t>
  </si>
  <si>
    <t xml:space="preserve">Fecha Inicio </t>
  </si>
  <si>
    <t>Fecha Final</t>
  </si>
  <si>
    <t>Etapa</t>
  </si>
  <si>
    <t>Rieles/Cajones</t>
  </si>
  <si>
    <t>Encargado</t>
  </si>
  <si>
    <t>Marco</t>
  </si>
  <si>
    <t>Carlos</t>
  </si>
  <si>
    <t>Seccion</t>
  </si>
  <si>
    <t>Gabinetes</t>
  </si>
  <si>
    <t>Puertas/Tapas</t>
  </si>
  <si>
    <t>Will</t>
  </si>
  <si>
    <t>Pintura Back</t>
  </si>
  <si>
    <t>Pintura Front</t>
  </si>
  <si>
    <t>Samples</t>
  </si>
  <si>
    <t>Duracion dias</t>
  </si>
  <si>
    <t>Sealer</t>
  </si>
  <si>
    <t>OC-17</t>
  </si>
  <si>
    <t>2120-10, M25-126</t>
  </si>
  <si>
    <t>2149-30, M25-127</t>
  </si>
  <si>
    <t>OC-117, M22-048</t>
  </si>
  <si>
    <t>M25-026, OC-45</t>
  </si>
  <si>
    <t>M25-091, OC-14</t>
  </si>
  <si>
    <t>M17-044 KM</t>
  </si>
  <si>
    <t>OC-117, M21-026</t>
  </si>
  <si>
    <t>M25-002, OC-37</t>
  </si>
  <si>
    <t xml:space="preserve">Match Sample Board </t>
  </si>
  <si>
    <t>M25-047</t>
  </si>
  <si>
    <t>HC-166, M25-027</t>
  </si>
  <si>
    <t>Peetz</t>
  </si>
  <si>
    <t>Cloud White</t>
  </si>
  <si>
    <t>OC-130, M22-028</t>
  </si>
  <si>
    <t>OC-17, M19-031</t>
  </si>
  <si>
    <t>SW-7005, M25-080</t>
  </si>
  <si>
    <t>Baileanna</t>
  </si>
  <si>
    <t>CSP-620, M24-067</t>
  </si>
  <si>
    <t>Ramce</t>
  </si>
  <si>
    <t>Decorations White</t>
  </si>
  <si>
    <t>Parish White</t>
  </si>
  <si>
    <t>Stonington Gray</t>
  </si>
  <si>
    <t>Yorktown Green</t>
  </si>
  <si>
    <t>PM-3, M17-072</t>
  </si>
  <si>
    <t>CW-15,M24-024</t>
  </si>
  <si>
    <t>HC-170, M25-021</t>
  </si>
  <si>
    <t>HC-133, M25-022</t>
  </si>
  <si>
    <t>Figurar puertas/tapas</t>
  </si>
  <si>
    <t>Notas:</t>
  </si>
  <si>
    <t>Ubicacion</t>
  </si>
  <si>
    <t>Salida</t>
  </si>
  <si>
    <t>ID</t>
  </si>
  <si>
    <t>Material/Producto</t>
  </si>
  <si>
    <t>Stok Actual</t>
  </si>
  <si>
    <t>Stock Minimo</t>
  </si>
  <si>
    <t>Fecha</t>
  </si>
  <si>
    <t>Motivo (regular/urgencia/ajuste)</t>
  </si>
  <si>
    <t>Notas cortas</t>
  </si>
  <si>
    <t>Entrada</t>
  </si>
  <si>
    <t>Stock Inicial</t>
  </si>
  <si>
    <t>Instalacion puertas/tapas</t>
  </si>
  <si>
    <t xml:space="preserve">Insumo </t>
  </si>
  <si>
    <t>Equipo no desechable, rieles, clips, etc</t>
  </si>
  <si>
    <t>Consumible</t>
  </si>
  <si>
    <t>Lijas, Toallas, Desechabe</t>
  </si>
  <si>
    <t>Consumibles</t>
  </si>
  <si>
    <t>Toallas</t>
  </si>
  <si>
    <t>Plasticos</t>
  </si>
  <si>
    <t>Mediano</t>
  </si>
  <si>
    <t>Grande</t>
  </si>
  <si>
    <t>Azul</t>
  </si>
  <si>
    <t>Naranja</t>
  </si>
  <si>
    <t>Papel</t>
  </si>
  <si>
    <t>Tape</t>
  </si>
  <si>
    <t>Lija Rectangular</t>
  </si>
  <si>
    <t>Lija Circular</t>
  </si>
  <si>
    <t>Roja</t>
  </si>
  <si>
    <t>Rollo</t>
  </si>
  <si>
    <t>Multi Proposito</t>
  </si>
  <si>
    <t>Guantes</t>
  </si>
  <si>
    <t>Azules</t>
  </si>
  <si>
    <t>Steel Wool</t>
  </si>
  <si>
    <t>0000</t>
  </si>
  <si>
    <t>000</t>
  </si>
  <si>
    <t>Pzas</t>
  </si>
  <si>
    <t>Wood Filler</t>
  </si>
  <si>
    <t>White Oak</t>
  </si>
  <si>
    <t>Bondo</t>
  </si>
  <si>
    <t>Filler</t>
  </si>
  <si>
    <t>Equipo Lijero</t>
  </si>
  <si>
    <t>Espatulas</t>
  </si>
  <si>
    <t>Mascaras</t>
  </si>
  <si>
    <t>Audifonos</t>
  </si>
  <si>
    <t>Insumos</t>
  </si>
  <si>
    <t>Rieles</t>
  </si>
  <si>
    <t>Anti Polvo</t>
  </si>
  <si>
    <t>Prot. Auditiva</t>
  </si>
  <si>
    <t>Clip</t>
  </si>
  <si>
    <t>Regulares</t>
  </si>
  <si>
    <t>Cjas</t>
  </si>
  <si>
    <t>Soft Close</t>
  </si>
  <si>
    <t>Tornillos</t>
  </si>
  <si>
    <t>Visagras Normal</t>
  </si>
  <si>
    <t>Visagras Frame</t>
  </si>
  <si>
    <t>Riel</t>
  </si>
  <si>
    <t>Tapa</t>
  </si>
  <si>
    <t>Gabinete</t>
  </si>
  <si>
    <t>Pinturas</t>
  </si>
  <si>
    <t>Proceso Completo</t>
  </si>
  <si>
    <t>Fillers</t>
  </si>
  <si>
    <t>Pendientes</t>
  </si>
  <si>
    <t>Retrasos externos (1 dia)</t>
  </si>
  <si>
    <t>Fecha Delivery</t>
  </si>
  <si>
    <t>Escala</t>
  </si>
  <si>
    <t>Clips Regulares</t>
  </si>
  <si>
    <t>Izquierdos</t>
  </si>
  <si>
    <t>Derechos</t>
  </si>
  <si>
    <t>Material</t>
  </si>
  <si>
    <t>Reabastecimiento</t>
  </si>
  <si>
    <t>Delivery</t>
  </si>
  <si>
    <t>Actividades</t>
  </si>
  <si>
    <t>Correccion</t>
  </si>
  <si>
    <t>Instalacion de pendientes/correcciones</t>
  </si>
  <si>
    <t>Practica Back 1</t>
  </si>
  <si>
    <t>Practica Back 2</t>
  </si>
  <si>
    <t>Practica Front 1</t>
  </si>
  <si>
    <t>Practica Front 2</t>
  </si>
  <si>
    <t>Proyectos</t>
  </si>
  <si>
    <t>Color</t>
  </si>
  <si>
    <t>Operation health - Vista mensual</t>
  </si>
  <si>
    <t>Proyectos (Estado)</t>
  </si>
  <si>
    <t>Activos, Completados,Pendientes</t>
  </si>
  <si>
    <t>Alertas de Inventario</t>
  </si>
  <si>
    <t>Eficiencia</t>
  </si>
  <si>
    <t>Tiempo promedio</t>
  </si>
  <si>
    <t>Costo promedio</t>
  </si>
  <si>
    <t>Eficiencia de material - Pintura</t>
  </si>
  <si>
    <t>ultimos 10 proyectos</t>
  </si>
  <si>
    <t>Desperdicio</t>
  </si>
  <si>
    <t>Accuracy Rate</t>
  </si>
  <si>
    <t>Inventiry Forecast</t>
  </si>
  <si>
    <t xml:space="preserve">Material </t>
  </si>
  <si>
    <t>Stock</t>
  </si>
  <si>
    <t>Ronout</t>
  </si>
  <si>
    <t>Proximas Ordenes Sugeridas</t>
  </si>
  <si>
    <t xml:space="preserve">Basado en : </t>
  </si>
  <si>
    <t>Consumo promedio de los ultimos 30 dias,</t>
  </si>
  <si>
    <t>3 proyecos activos</t>
  </si>
  <si>
    <t>SYSTEM IMPACT - 6 MESES</t>
  </si>
  <si>
    <t xml:space="preserve">Errores de comunicacion </t>
  </si>
  <si>
    <t>Antes/Ahora</t>
  </si>
  <si>
    <t>Desperdicio de material</t>
  </si>
  <si>
    <t>Tiempo consulta informacion</t>
  </si>
  <si>
    <t>ROI TOTAL: $$$</t>
  </si>
  <si>
    <t>Process Bottlenecks</t>
  </si>
  <si>
    <t>Process Flow - Mensual</t>
  </si>
  <si>
    <t>Procesos, con dias</t>
  </si>
  <si>
    <t>Bottleneck: Area x</t>
  </si>
  <si>
    <t>Causa</t>
  </si>
  <si>
    <t>Recomendacion</t>
  </si>
  <si>
    <t>Como esta funcionando el taller hoy?</t>
  </si>
  <si>
    <t>Estamos desperdiciando materiales?</t>
  </si>
  <si>
    <t>Cuando se me va a acabar cada material?</t>
  </si>
  <si>
    <t>Donde se esta atascadno el trabajo?</t>
  </si>
  <si>
    <t>Re ordenamiento puertas/tapas</t>
  </si>
  <si>
    <t>Gabinetes pendientes</t>
  </si>
  <si>
    <t xml:space="preserve">Re ordenar puertas/tapas por correccion </t>
  </si>
  <si>
    <t>Samples para napa</t>
  </si>
  <si>
    <t xml:space="preserve">Proyecto </t>
  </si>
  <si>
    <t>Toe kick</t>
  </si>
  <si>
    <t>Molding</t>
  </si>
  <si>
    <t>Molding natural</t>
  </si>
  <si>
    <t>Molding color</t>
  </si>
  <si>
    <t>Remplazo puertas</t>
  </si>
  <si>
    <t>Lijado Sealer</t>
  </si>
  <si>
    <t>Estante Principal</t>
  </si>
  <si>
    <t>Straps</t>
  </si>
  <si>
    <t xml:space="preserve">Proceso </t>
  </si>
  <si>
    <t>Avance</t>
  </si>
  <si>
    <t>Lijado sealer</t>
  </si>
  <si>
    <t>Pitura Front</t>
  </si>
  <si>
    <t>Envolver</t>
  </si>
  <si>
    <t>Ultima Actividad</t>
  </si>
  <si>
    <t>Ultima Etapa</t>
  </si>
  <si>
    <t>Ultima Seccion</t>
  </si>
  <si>
    <t>Dias activo</t>
  </si>
  <si>
    <t>Actualizar Proyectos, y vincularlos con Id para mejorar el estado de proyectos</t>
  </si>
  <si>
    <t>Actualizar fechas</t>
  </si>
  <si>
    <t>1.- Valio la pena implementar este sistema?</t>
  </si>
  <si>
    <t>El numero 1 en rojo sera puesto al final del proyecto</t>
  </si>
  <si>
    <t>Se armaran estos dashboard de forma paralela cuando se arme la estructura de SQL y Python</t>
  </si>
  <si>
    <t>OPERATIONS HEALTH</t>
  </si>
  <si>
    <t>Neville</t>
  </si>
  <si>
    <t>Kohar</t>
  </si>
  <si>
    <t>ESTADO DE PROYECTOS</t>
  </si>
  <si>
    <t>EFICIECIA</t>
  </si>
  <si>
    <t>ALERTAS DE INVENTARIO</t>
  </si>
  <si>
    <t>Activos</t>
  </si>
  <si>
    <t>Completados</t>
  </si>
  <si>
    <t>Pausados</t>
  </si>
  <si>
    <t>Tiempo promedio:</t>
  </si>
  <si>
    <t>Mas largo activo:</t>
  </si>
  <si>
    <t xml:space="preserve"> </t>
  </si>
  <si>
    <t>items</t>
  </si>
  <si>
    <t>Agotados</t>
  </si>
  <si>
    <t>Bajos</t>
  </si>
  <si>
    <t>Suficientes</t>
  </si>
  <si>
    <t>CONSULTA DE PROYECTOS</t>
  </si>
  <si>
    <t>PENDIENTES</t>
  </si>
  <si>
    <t>DOCUMENTACION</t>
  </si>
  <si>
    <t>(1-2 SEMANAS MAX)</t>
  </si>
  <si>
    <t>Escribir problemas</t>
  </si>
  <si>
    <t>Documentar proceso</t>
  </si>
  <si>
    <t>Tomar fotos del antes (registros en papel)</t>
  </si>
  <si>
    <t>Explicar dolor operativo</t>
  </si>
  <si>
    <t>Explicar  solucion</t>
  </si>
  <si>
    <t>Mostrar dashboard</t>
  </si>
  <si>
    <t>Mostrar estructura de hojas</t>
  </si>
  <si>
    <t>Explicar iimpacto esperado</t>
  </si>
  <si>
    <t>SUBIRLO A GITHUB</t>
  </si>
  <si>
    <t>(3-5 DIAS MAX)</t>
  </si>
  <si>
    <t>README Estructurado</t>
  </si>
  <si>
    <t>Carpeta/docs</t>
  </si>
  <si>
    <t>Screenshots bien presentados</t>
  </si>
  <si>
    <t>Version limpia del Excel</t>
  </si>
  <si>
    <t>Explicacion tecnica basica</t>
  </si>
  <si>
    <t>Correccion de Shelfs</t>
  </si>
  <si>
    <t>Shelfs/Filler Walnaut</t>
  </si>
  <si>
    <t>Molding Color/Stain</t>
  </si>
  <si>
    <t>Home Depot</t>
  </si>
  <si>
    <t>E.B. Bradley</t>
  </si>
  <si>
    <t>Especial</t>
  </si>
  <si>
    <t>Tiras de W/O</t>
  </si>
  <si>
    <t>BITACORA</t>
  </si>
  <si>
    <t>Modificacion</t>
  </si>
  <si>
    <t>Pasar formulas de proyectos antiguos, especificamente de estados de proyecto a registro de trabajos, donde se quede como "Terminados", para cerrar proyectos.</t>
  </si>
  <si>
    <t>Bolsas</t>
  </si>
  <si>
    <t>Negras</t>
  </si>
  <si>
    <t>DATA BASE PROYECTS</t>
  </si>
  <si>
    <t>INVENTARIO BASE</t>
  </si>
  <si>
    <t>INVENTARIO (ENTRADAS - SALIDAS)</t>
  </si>
  <si>
    <t>Estado de proyecto</t>
  </si>
  <si>
    <t>Terminado</t>
  </si>
  <si>
    <t>Bathroom</t>
  </si>
  <si>
    <t>Normandy</t>
  </si>
  <si>
    <t>Morning Dew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</si>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</sst>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/d/yy;@"/>
    <numFmt numFmtId="166" formatCode="mm/dd/yy;@"/>
    <numFmt numFmtId="167" formatCode="yyyy\-mm\-dd;@"/>
    <numFmt numFmtId="168" formatCode="[$-F800]dddd\,\ mmmm\ dd\,\ yyyy"/>
  </numFmts>
  <fonts count="3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sz val="11"/>
      <name val="Calibri"/>
    </font>
    <font>
      <b/>
      <sz val="12"/>
      <color rgb="FF4472C4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Raleway"/>
      <family val="2"/>
    </font>
    <font>
      <b/>
      <i/>
      <sz val="12"/>
      <color theme="1"/>
      <name val="Raleway"/>
      <family val="2"/>
    </font>
    <font>
      <b/>
      <sz val="11"/>
      <color theme="0"/>
      <name val="Calibri"/>
      <family val="2"/>
      <scheme val="minor"/>
    </font>
    <font>
      <sz val="11"/>
      <color theme="1"/>
      <name val="Raleway"/>
      <family val="2"/>
    </font>
    <font>
      <b/>
      <sz val="20"/>
      <color theme="2"/>
      <name val="Raleway"/>
      <family val="2"/>
    </font>
    <font>
      <b/>
      <sz val="14"/>
      <color theme="1"/>
      <name val="Raleway"/>
      <family val="2"/>
    </font>
    <font>
      <b/>
      <sz val="14"/>
      <color theme="0"/>
      <name val="Raleway"/>
      <family val="2"/>
    </font>
    <font>
      <b/>
      <sz val="15"/>
      <color theme="3"/>
      <name val="Raleway"/>
      <family val="2"/>
    </font>
    <font>
      <sz val="15"/>
      <color theme="3"/>
      <name val="Raleway"/>
      <family val="2"/>
    </font>
    <font>
      <b/>
      <sz val="15"/>
      <color theme="6" tint="-0.249977111117893"/>
      <name val="Raleway"/>
      <family val="2"/>
    </font>
    <font>
      <b/>
      <sz val="15"/>
      <color theme="5"/>
      <name val="Raleway"/>
      <family val="2"/>
    </font>
    <font>
      <b/>
      <sz val="15"/>
      <color rgb="FF00B050"/>
      <name val="Raleway"/>
      <family val="2"/>
    </font>
    <font>
      <b/>
      <sz val="15"/>
      <color theme="9" tint="-0.249977111117893"/>
      <name val="Raleway"/>
      <family val="2"/>
    </font>
    <font>
      <b/>
      <i/>
      <sz val="14"/>
      <color theme="0"/>
      <name val="Raleway"/>
      <family val="2"/>
    </font>
    <font>
      <b/>
      <i/>
      <sz val="14"/>
      <color rgb="FF7030A0"/>
      <name val="Raleway"/>
      <family val="2"/>
    </font>
    <font>
      <i/>
      <sz val="12"/>
      <color theme="1"/>
      <name val="Raleway"/>
      <family val="2"/>
    </font>
    <font>
      <sz val="12"/>
      <color theme="1"/>
      <name val="Raleway"/>
      <family val="2"/>
    </font>
    <font>
      <b/>
      <i/>
      <sz val="11"/>
      <color rgb="FFFF0000"/>
      <name val="Raleway"/>
      <family val="2"/>
    </font>
    <font>
      <sz val="11"/>
      <color rgb="FFFF0000"/>
      <name val="Raleway"/>
      <family val="2"/>
    </font>
    <font>
      <b/>
      <sz val="16"/>
      <color theme="1"/>
      <name val="Raleway"/>
      <family val="2"/>
    </font>
    <font>
      <b/>
      <sz val="11"/>
      <color theme="0"/>
      <name val="Raleway"/>
      <family val="2"/>
    </font>
    <font>
      <b/>
      <i/>
      <u/>
      <sz val="11"/>
      <color theme="1"/>
      <name val="Raleway"/>
      <family val="2"/>
    </font>
    <font>
      <b/>
      <sz val="12"/>
      <color rgb="FFFFFFFF"/>
      <name val="Raleway"/>
      <family val="2"/>
    </font>
    <font>
      <b/>
      <sz val="14"/>
      <color rgb="FFFFFFFF"/>
      <name val="Raleway"/>
      <family val="2"/>
    </font>
    <font>
      <b/>
      <i/>
      <u/>
      <sz val="14"/>
      <color rgb="FFFFFFFF"/>
      <name val="Raleway"/>
      <family val="2"/>
    </font>
    <font>
      <b/>
      <sz val="16"/>
      <color theme="0"/>
      <name val="Raleway"/>
      <family val="2"/>
    </font>
    <font>
      <b/>
      <sz val="12"/>
      <color theme="1"/>
      <name val="Raleway"/>
      <family val="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rgb="FF4472C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rgb="FF70AD47"/>
      </patternFill>
    </fill>
    <fill>
      <patternFill patternType="solid">
        <fgColor theme="9" tint="-0.249977111117893"/>
        <bgColor rgb="FF70AD47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6" fillId="3" borderId="0" applyNumberFormat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1" applyBorder="1"/>
    <xf numFmtId="0" fontId="0" fillId="4" borderId="1" xfId="0" applyFill="1" applyBorder="1"/>
    <xf numFmtId="2" fontId="0" fillId="0" borderId="1" xfId="0" applyNumberFormat="1" applyBorder="1"/>
    <xf numFmtId="9" fontId="0" fillId="0" borderId="1" xfId="2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9" fillId="6" borderId="0" xfId="0" applyFont="1" applyFill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/>
    <xf numFmtId="14" fontId="10" fillId="0" borderId="0" xfId="0" applyNumberFormat="1" applyFont="1"/>
    <xf numFmtId="0" fontId="16" fillId="0" borderId="0" xfId="0" applyFont="1"/>
    <xf numFmtId="0" fontId="17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15" borderId="0" xfId="0" applyFont="1" applyFill="1"/>
    <xf numFmtId="0" fontId="10" fillId="15" borderId="6" xfId="0" applyFont="1" applyFill="1" applyBorder="1"/>
    <xf numFmtId="0" fontId="10" fillId="15" borderId="6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4" borderId="0" xfId="0" applyFont="1" applyFill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10" fillId="3" borderId="5" xfId="3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66" fontId="10" fillId="0" borderId="1" xfId="0" applyNumberFormat="1" applyFont="1" applyBorder="1"/>
    <xf numFmtId="2" fontId="10" fillId="0" borderId="1" xfId="0" applyNumberFormat="1" applyFont="1" applyBorder="1"/>
    <xf numFmtId="9" fontId="10" fillId="0" borderId="0" xfId="2" applyFont="1"/>
    <xf numFmtId="0" fontId="27" fillId="6" borderId="0" xfId="0" applyFont="1" applyFill="1"/>
    <xf numFmtId="0" fontId="10" fillId="0" borderId="0" xfId="0" applyFont="1" applyAlignment="1">
      <alignment horizontal="center" vertical="center"/>
    </xf>
    <xf numFmtId="165" fontId="10" fillId="0" borderId="0" xfId="0" applyNumberFormat="1" applyFont="1"/>
    <xf numFmtId="166" fontId="10" fillId="0" borderId="0" xfId="0" applyNumberFormat="1" applyFont="1"/>
    <xf numFmtId="2" fontId="10" fillId="0" borderId="0" xfId="0" applyNumberFormat="1" applyFont="1"/>
    <xf numFmtId="0" fontId="10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49" fontId="10" fillId="0" borderId="1" xfId="0" applyNumberFormat="1" applyFont="1" applyBorder="1"/>
    <xf numFmtId="0" fontId="28" fillId="0" borderId="0" xfId="0" applyFont="1" applyAlignment="1">
      <alignment horizontal="center"/>
    </xf>
    <xf numFmtId="14" fontId="10" fillId="0" borderId="1" xfId="0" applyNumberFormat="1" applyFont="1" applyBorder="1"/>
    <xf numFmtId="164" fontId="10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9" fillId="12" borderId="0" xfId="0" applyFont="1" applyFill="1" applyAlignment="1">
      <alignment horizontal="center" vertical="center"/>
    </xf>
    <xf numFmtId="165" fontId="10" fillId="0" borderId="4" xfId="0" applyNumberFormat="1" applyFont="1" applyBorder="1"/>
    <xf numFmtId="166" fontId="10" fillId="0" borderId="4" xfId="0" applyNumberFormat="1" applyFont="1" applyBorder="1"/>
    <xf numFmtId="2" fontId="10" fillId="0" borderId="4" xfId="0" applyNumberFormat="1" applyFont="1" applyBorder="1"/>
    <xf numFmtId="0" fontId="10" fillId="0" borderId="4" xfId="0" applyFont="1" applyBorder="1"/>
    <xf numFmtId="0" fontId="33" fillId="18" borderId="0" xfId="3" applyFont="1" applyFill="1" applyBorder="1" applyAlignment="1">
      <alignment horizontal="center" vertical="center"/>
    </xf>
    <xf numFmtId="165" fontId="33" fillId="18" borderId="0" xfId="3" applyNumberFormat="1" applyFont="1" applyFill="1" applyBorder="1" applyAlignment="1">
      <alignment horizontal="center"/>
    </xf>
    <xf numFmtId="166" fontId="33" fillId="18" borderId="0" xfId="3" applyNumberFormat="1" applyFont="1" applyFill="1" applyBorder="1" applyAlignment="1">
      <alignment horizontal="center"/>
    </xf>
    <xf numFmtId="2" fontId="33" fillId="18" borderId="0" xfId="3" applyNumberFormat="1" applyFont="1" applyFill="1" applyBorder="1" applyAlignment="1">
      <alignment horizontal="center"/>
    </xf>
    <xf numFmtId="0" fontId="33" fillId="18" borderId="0" xfId="3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28" fillId="0" borderId="4" xfId="0" applyFont="1" applyBorder="1" applyAlignment="1">
      <alignment horizontal="center"/>
    </xf>
    <xf numFmtId="0" fontId="30" fillId="16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center" vertical="center"/>
    </xf>
    <xf numFmtId="14" fontId="10" fillId="0" borderId="4" xfId="0" applyNumberFormat="1" applyFont="1" applyBorder="1"/>
    <xf numFmtId="0" fontId="29" fillId="17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indent="1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11" fillId="7" borderId="0" xfId="0" applyFont="1" applyFill="1" applyAlignment="1">
      <alignment horizontal="center"/>
    </xf>
    <xf numFmtId="168" fontId="12" fillId="8" borderId="0" xfId="0" applyNumberFormat="1" applyFont="1" applyFill="1" applyAlignment="1">
      <alignment horizontal="center"/>
    </xf>
    <xf numFmtId="0" fontId="13" fillId="10" borderId="0" xfId="0" applyFont="1" applyFill="1" applyAlignment="1">
      <alignment horizontal="left" indent="1"/>
    </xf>
    <xf numFmtId="0" fontId="13" fillId="9" borderId="0" xfId="0" applyFont="1" applyFill="1" applyAlignment="1">
      <alignment horizontal="left" indent="1"/>
    </xf>
    <xf numFmtId="0" fontId="13" fillId="11" borderId="0" xfId="0" applyFont="1" applyFill="1" applyAlignment="1">
      <alignment horizontal="left" indent="1"/>
    </xf>
    <xf numFmtId="0" fontId="26" fillId="0" borderId="0" xfId="0" applyFont="1" applyAlignment="1">
      <alignment horizontal="center"/>
    </xf>
    <xf numFmtId="0" fontId="26" fillId="4" borderId="0" xfId="0" applyFont="1" applyFill="1" applyAlignment="1">
      <alignment horizontal="center"/>
    </xf>
    <xf numFmtId="0" fontId="26" fillId="18" borderId="0" xfId="0" applyFont="1" applyFill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32" fillId="20" borderId="0" xfId="0" applyFont="1" applyFill="1" applyAlignment="1">
      <alignment horizontal="center"/>
    </xf>
    <xf numFmtId="0" fontId="32" fillId="12" borderId="0" xfId="0" applyFont="1" applyFill="1" applyAlignment="1">
      <alignment vertical="center"/>
    </xf>
  </cellXfs>
  <cellStyles count="4">
    <cellStyle name="60% - Énfasis4" xfId="3" builtinId="44"/>
    <cellStyle name="Hipervínculo" xfId="1" builtinId="8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42216729328483"/>
          <c:y val="7.4232060079527304E-3"/>
          <c:w val="0.46328812912923018"/>
          <c:h val="0.9851535879840945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54-4E93-B719-3404F6B369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54-4E93-B719-3404F6B3691F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284-465F-995B-1CE7A50FED13}"/>
              </c:ext>
            </c:extLst>
          </c:dPt>
          <c:cat>
            <c:strRef>
              <c:f>'OPERATIONS BRAIN'!$A$6:$A$8</c:f>
              <c:strCache>
                <c:ptCount val="3"/>
                <c:pt idx="0">
                  <c:v>Activos</c:v>
                </c:pt>
                <c:pt idx="1">
                  <c:v>Completados</c:v>
                </c:pt>
                <c:pt idx="2">
                  <c:v>Pausados</c:v>
                </c:pt>
              </c:strCache>
            </c:strRef>
          </c:cat>
          <c:val>
            <c:numRef>
              <c:f>'OPERATIONS BRAIN'!$B$6:$B$8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3284-465F-995B-1CE7A50FED1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84-465F-995B-1CE7A50FED1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284-465F-995B-1CE7A50FED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54-4E93-B719-3404F6B369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aleway" panose="020B0003030101060003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'OPERATIONS BRAIN'!$A$6:$A$8</c:f>
              <c:strCache>
                <c:ptCount val="3"/>
                <c:pt idx="0">
                  <c:v>Activos</c:v>
                </c:pt>
                <c:pt idx="1">
                  <c:v>Completados</c:v>
                </c:pt>
                <c:pt idx="2">
                  <c:v>Pausados</c:v>
                </c:pt>
              </c:strCache>
            </c:strRef>
          </c:cat>
          <c:val>
            <c:numRef>
              <c:f>'OPERATIONS BRAIN'!$C$6:$C$8</c:f>
              <c:numCache>
                <c:formatCode>General</c:formatCode>
                <c:ptCount val="3"/>
                <c:pt idx="0">
                  <c:v>0</c:v>
                </c:pt>
                <c:pt idx="1">
                  <c:v>58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4-465F-995B-1CE7A50FE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anose="020B0003030101060003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Raleway" panose="020B0003030101060003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Raleway" panose="020B0003030101060003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'OPERATIONS BRAIN'!$A$17:$A$19</c:f>
              <c:strCache>
                <c:ptCount val="3"/>
                <c:pt idx="0">
                  <c:v>Agotados</c:v>
                </c:pt>
                <c:pt idx="1">
                  <c:v>Bajos</c:v>
                </c:pt>
                <c:pt idx="2">
                  <c:v>Suficientes</c:v>
                </c:pt>
              </c:strCache>
            </c:strRef>
          </c:cat>
          <c:val>
            <c:numRef>
              <c:f>'OPERATIONS BRAIN'!$B$17:$B$19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8B1C-4D63-AC60-693F9E0249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8B1C-4D63-AC60-693F9E0249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B1C-4D63-AC60-693F9E0249DF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B1C-4D63-AC60-693F9E0249D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Raleway" panose="020B0003030101060003" pitchFamily="34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'OPERATIONS BRAIN'!$A$17:$A$19</c:f>
              <c:strCache>
                <c:ptCount val="3"/>
                <c:pt idx="0">
                  <c:v>Agotados</c:v>
                </c:pt>
                <c:pt idx="1">
                  <c:v>Bajos</c:v>
                </c:pt>
                <c:pt idx="2">
                  <c:v>Suficientes</c:v>
                </c:pt>
              </c:strCache>
            </c:strRef>
          </c:cat>
          <c:val>
            <c:numRef>
              <c:f>'OPERATIONS BRAIN'!$C$17:$C$19</c:f>
              <c:numCache>
                <c:formatCode>General</c:formatCode>
                <c:ptCount val="3"/>
                <c:pt idx="0">
                  <c:v>1</c:v>
                </c:pt>
                <c:pt idx="1">
                  <c:v>34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C-4D63-AC60-693F9E024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8680623"/>
        <c:axId val="1448679183"/>
        <c:axId val="0"/>
      </c:bar3DChart>
      <c:catAx>
        <c:axId val="14486806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448679183"/>
        <c:crosses val="autoZero"/>
        <c:auto val="1"/>
        <c:lblAlgn val="ctr"/>
        <c:lblOffset val="100"/>
        <c:noMultiLvlLbl val="0"/>
      </c:catAx>
      <c:valAx>
        <c:axId val="144867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Raleway" panose="020B0003030101060003" pitchFamily="34" charset="0"/>
                <a:ea typeface="+mn-ea"/>
                <a:cs typeface="+mn-cs"/>
              </a:defRPr>
            </a:pPr>
            <a:endParaRPr lang="es-MX"/>
          </a:p>
        </c:txPr>
        <c:crossAx val="144868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Raleway" panose="020B0003030101060003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19876</xdr:colOff>
      <xdr:row>4</xdr:row>
      <xdr:rowOff>59636</xdr:rowOff>
    </xdr:from>
    <xdr:to>
      <xdr:col>7</xdr:col>
      <xdr:colOff>821633</xdr:colOff>
      <xdr:row>8</xdr:row>
      <xdr:rowOff>523461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A3E3C0-E821-47DA-3328-E14716D36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702364</xdr:colOff>
      <xdr:row>16</xdr:row>
      <xdr:rowOff>172279</xdr:rowOff>
    </xdr:from>
    <xdr:to>
      <xdr:col>7</xdr:col>
      <xdr:colOff>775250</xdr:colOff>
      <xdr:row>21</xdr:row>
      <xdr:rowOff>159027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B0FBABD-8599-3F21-1FED-F9D243A76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herw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1C0F-1E0C-417C-AB33-DEEB725CCE21}">
  <dimension ref="A1:L33"/>
  <sheetViews>
    <sheetView zoomScaleNormal="100" workbookViewId="0">
      <selection activeCell="C12" sqref="C12"/>
    </sheetView>
  </sheetViews>
  <sheetFormatPr baseColWidth="10" defaultRowHeight="13.8" x14ac:dyDescent="0.25"/>
  <cols>
    <col min="1" max="1" width="12.77734375" style="13" customWidth="1"/>
    <col min="2" max="2" width="16.88671875" style="13" customWidth="1"/>
    <col min="3" max="3" width="10.6640625" style="13" bestFit="1" customWidth="1"/>
    <col min="4" max="4" width="14.77734375" style="13" bestFit="1" customWidth="1"/>
    <col min="5" max="5" width="16.44140625" style="13" customWidth="1"/>
    <col min="6" max="6" width="20.21875" style="13" customWidth="1"/>
    <col min="7" max="7" width="17.88671875" style="13" bestFit="1" customWidth="1"/>
    <col min="8" max="8" width="14.109375" style="13" customWidth="1"/>
    <col min="9" max="9" width="17.33203125" style="13" bestFit="1" customWidth="1"/>
    <col min="10" max="10" width="24.109375" style="13" customWidth="1"/>
    <col min="11" max="11" width="26.109375" style="13" bestFit="1" customWidth="1"/>
    <col min="12" max="16384" width="11.5546875" style="13"/>
  </cols>
  <sheetData>
    <row r="1" spans="1:10" ht="25.2" x14ac:dyDescent="0.45">
      <c r="A1" s="90" t="s">
        <v>361</v>
      </c>
      <c r="B1" s="90"/>
      <c r="C1" s="90"/>
      <c r="D1" s="90"/>
      <c r="E1" s="90"/>
      <c r="F1" s="90"/>
      <c r="G1" s="90"/>
      <c r="H1" s="90"/>
    </row>
    <row r="2" spans="1:10" ht="17.399999999999999" x14ac:dyDescent="0.3">
      <c r="A2" s="91">
        <f ca="1">TODAY()</f>
        <v>46109</v>
      </c>
      <c r="B2" s="91"/>
      <c r="C2" s="91"/>
      <c r="D2" s="91"/>
      <c r="E2" s="91"/>
      <c r="F2" s="91"/>
      <c r="G2" s="91"/>
      <c r="H2" s="91"/>
    </row>
    <row r="3" spans="1:10" x14ac:dyDescent="0.25">
      <c r="E3" s="20"/>
    </row>
    <row r="4" spans="1:10" ht="17.399999999999999" x14ac:dyDescent="0.3">
      <c r="A4" s="92" t="s">
        <v>364</v>
      </c>
      <c r="B4" s="92"/>
      <c r="C4" s="92"/>
      <c r="D4" s="92"/>
      <c r="E4" s="92"/>
      <c r="F4" s="92"/>
      <c r="G4" s="92"/>
      <c r="H4" s="92"/>
    </row>
    <row r="6" spans="1:10" s="25" customFormat="1" ht="43.8" customHeight="1" x14ac:dyDescent="0.25">
      <c r="A6" s="23" t="s">
        <v>367</v>
      </c>
      <c r="B6" s="24"/>
      <c r="C6" s="27">
        <f>COUNTIF('Estado de Proyectos'!I:I,"🔄 En proceso")</f>
        <v>0</v>
      </c>
      <c r="I6" s="13"/>
      <c r="J6" s="13"/>
    </row>
    <row r="7" spans="1:10" s="25" customFormat="1" ht="43.8" customHeight="1" x14ac:dyDescent="0.25">
      <c r="A7" s="23" t="s">
        <v>368</v>
      </c>
      <c r="B7" s="24"/>
      <c r="C7" s="27">
        <f>COUNTIF('Estado de Proyectos'!I:I,"✅ Completado")</f>
        <v>58</v>
      </c>
      <c r="I7" s="13"/>
      <c r="J7" s="13"/>
    </row>
    <row r="8" spans="1:10" s="25" customFormat="1" ht="43.8" customHeight="1" x14ac:dyDescent="0.3">
      <c r="A8" s="23" t="s">
        <v>369</v>
      </c>
      <c r="B8" s="24"/>
      <c r="C8" s="27">
        <f>COUNTIF('Estado de Proyectos'!I:I,"⏸️ Sin iniciar")</f>
        <v>0</v>
      </c>
      <c r="G8" s="26"/>
    </row>
    <row r="9" spans="1:10" ht="43.8" customHeight="1" x14ac:dyDescent="0.3">
      <c r="G9"/>
    </row>
    <row r="10" spans="1:10" ht="14.4" thickBot="1" x14ac:dyDescent="0.3">
      <c r="A10" s="35"/>
      <c r="B10" s="35"/>
      <c r="C10" s="35"/>
      <c r="D10" s="35"/>
      <c r="E10" s="35"/>
      <c r="F10" s="35"/>
      <c r="G10" s="36"/>
      <c r="H10" s="35"/>
    </row>
    <row r="11" spans="1:10" ht="17.399999999999999" x14ac:dyDescent="0.3">
      <c r="A11" s="93" t="s">
        <v>365</v>
      </c>
      <c r="B11" s="93"/>
      <c r="C11" s="93"/>
      <c r="D11" s="93"/>
      <c r="E11" s="93"/>
      <c r="F11" s="93"/>
      <c r="G11" s="93"/>
      <c r="H11" s="93"/>
    </row>
    <row r="12" spans="1:10" ht="19.2" x14ac:dyDescent="0.35">
      <c r="A12" s="21" t="s">
        <v>370</v>
      </c>
      <c r="B12" s="21"/>
      <c r="C12" s="21" t="str">
        <f t="array" aca="1" ref="C12" ca="1">ROUND(AVERAGE(IF('Estado de Proyectos'!I:I="✅ Completado",'Estado de Proyectos'!H:H)),1) &amp; "dias"</f>
        <v>31810.2dias</v>
      </c>
    </row>
    <row r="13" spans="1:10" ht="19.2" x14ac:dyDescent="0.35">
      <c r="A13" s="21" t="s">
        <v>371</v>
      </c>
      <c r="B13" s="21"/>
      <c r="C13" s="21" t="str" cm="1">
        <f t="array" aca="1" ref="C13" ca="1">MAX(IF('Estado de Proyectos'!I:I="🔄 En proceso",'Estado de Proyectos'!H:H))&amp; "dias"</f>
        <v>0dias</v>
      </c>
      <c r="J13" s="13" t="s">
        <v>372</v>
      </c>
    </row>
    <row r="14" spans="1:10" ht="10.8" customHeight="1" x14ac:dyDescent="0.25"/>
    <row r="15" spans="1:10" ht="14.4" thickBot="1" x14ac:dyDescent="0.3">
      <c r="A15" s="35"/>
      <c r="B15" s="35"/>
      <c r="C15" s="35"/>
      <c r="D15" s="35"/>
      <c r="E15" s="35"/>
      <c r="F15" s="35"/>
      <c r="G15" s="35"/>
      <c r="H15" s="35"/>
    </row>
    <row r="16" spans="1:10" ht="17.399999999999999" x14ac:dyDescent="0.3">
      <c r="A16" s="94" t="s">
        <v>366</v>
      </c>
      <c r="B16" s="94"/>
      <c r="C16" s="94"/>
      <c r="D16" s="94"/>
      <c r="E16" s="94"/>
      <c r="F16" s="94"/>
      <c r="G16" s="94"/>
      <c r="H16" s="94"/>
    </row>
    <row r="17" spans="1:12" s="25" customFormat="1" ht="45" customHeight="1" x14ac:dyDescent="0.3">
      <c r="A17" s="31" t="s">
        <v>374</v>
      </c>
      <c r="B17" s="31"/>
      <c r="C17" s="28">
        <f>COUNTIF('Inventario Base'!J:J,"🔴 AGOTADO")</f>
        <v>1</v>
      </c>
      <c r="D17" s="31" t="s">
        <v>373</v>
      </c>
    </row>
    <row r="18" spans="1:12" s="25" customFormat="1" ht="45" customHeight="1" x14ac:dyDescent="0.3">
      <c r="A18" s="32" t="s">
        <v>375</v>
      </c>
      <c r="B18" s="32"/>
      <c r="C18" s="29">
        <f>COUNTIF('Inventario Base'!J:J,"⚠️ BAJO")</f>
        <v>34</v>
      </c>
      <c r="D18" s="32" t="s">
        <v>373</v>
      </c>
    </row>
    <row r="19" spans="1:12" s="25" customFormat="1" ht="45" customHeight="1" x14ac:dyDescent="0.3">
      <c r="A19" s="33" t="s">
        <v>376</v>
      </c>
      <c r="B19" s="33"/>
      <c r="C19" s="30">
        <f>+COUNTIF('Inventario Base'!J:J, "✅ OK")</f>
        <v>15</v>
      </c>
      <c r="D19" s="33" t="s">
        <v>373</v>
      </c>
    </row>
    <row r="20" spans="1:12" ht="45" customHeight="1" x14ac:dyDescent="0.25"/>
    <row r="23" spans="1:12" x14ac:dyDescent="0.25">
      <c r="A23" s="34"/>
      <c r="B23" s="34"/>
      <c r="C23" s="34"/>
      <c r="D23" s="34"/>
      <c r="E23" s="34"/>
      <c r="F23" s="34"/>
      <c r="G23" s="34"/>
      <c r="H23" s="34"/>
    </row>
    <row r="24" spans="1:12" ht="17.399999999999999" x14ac:dyDescent="0.3">
      <c r="A24" s="86" t="s">
        <v>377</v>
      </c>
      <c r="B24" s="86"/>
      <c r="C24" s="86"/>
      <c r="D24" s="86"/>
      <c r="E24" s="86"/>
      <c r="F24" s="86"/>
      <c r="G24" s="86"/>
      <c r="H24" s="86"/>
    </row>
    <row r="26" spans="1:12" ht="17.399999999999999" x14ac:dyDescent="0.3">
      <c r="A26" s="37" t="s">
        <v>338</v>
      </c>
      <c r="B26" s="87" t="s">
        <v>139</v>
      </c>
      <c r="C26" s="88"/>
      <c r="D26" s="88"/>
      <c r="E26" s="88"/>
      <c r="F26" s="88"/>
      <c r="G26" s="89"/>
    </row>
    <row r="27" spans="1:12" ht="15.6" x14ac:dyDescent="0.3">
      <c r="A27" s="38" t="s">
        <v>221</v>
      </c>
      <c r="B27" s="39" t="s">
        <v>65</v>
      </c>
      <c r="C27" s="40" t="s">
        <v>287</v>
      </c>
      <c r="D27" s="40" t="s">
        <v>2</v>
      </c>
      <c r="E27" s="40" t="s">
        <v>298</v>
      </c>
      <c r="F27" s="40" t="s">
        <v>106</v>
      </c>
      <c r="G27" s="40" t="s">
        <v>282</v>
      </c>
    </row>
    <row r="28" spans="1:12" ht="15.6" x14ac:dyDescent="0.25">
      <c r="A28" s="41" cm="1">
        <f t="array" ref="A28:A33">_xlfn._xlws.FILTER('RAW DATA PROYECTS'!B3:B60, 'RAW DATA PROYECTS'!A3:A60=B26,"Sin Areas")</f>
        <v>39</v>
      </c>
      <c r="B28" s="42" t="str" cm="1">
        <f t="array" ref="B28:G28">VLOOKUP(A28,'RAW DATA PROYECTS'!B3:M60,{2,4,5,6,7,12},FALSE)</f>
        <v>Kitchen</v>
      </c>
      <c r="C28" s="42" t="str">
        <v>MDF</v>
      </c>
      <c r="D28" s="43" t="str">
        <v>Mohawk</v>
      </c>
      <c r="E28" s="43" t="str">
        <v>Simple White</v>
      </c>
      <c r="F28" s="43" t="str">
        <v>OC-117, M22-048</v>
      </c>
      <c r="G28" s="44">
        <v>0</v>
      </c>
    </row>
    <row r="29" spans="1:12" ht="15.6" x14ac:dyDescent="0.25">
      <c r="A29" s="41">
        <v>40</v>
      </c>
      <c r="B29" s="42" t="str" cm="1">
        <f t="array" ref="B29:G29">VLOOKUP(A29,'RAW DATA PROYECTS'!B4:M59,{2,4,5,6,7,12},FALSE)</f>
        <v>Kitchen</v>
      </c>
      <c r="C29" s="43" t="str">
        <v>Maple</v>
      </c>
      <c r="D29" s="43" t="str">
        <v>Mohawk</v>
      </c>
      <c r="E29" s="43" t="str">
        <v>Clear 40</v>
      </c>
      <c r="F29" s="43">
        <v>0</v>
      </c>
      <c r="G29" s="44">
        <v>0</v>
      </c>
    </row>
    <row r="30" spans="1:12" ht="19.2" x14ac:dyDescent="0.35">
      <c r="A30" s="41">
        <v>41</v>
      </c>
      <c r="B30" s="42" t="str" cm="1">
        <f t="array" ref="B30:G30">VLOOKUP(A30,'RAW DATA PROYECTS'!B5:M60,{2,4,5,6,7,12},FALSE)</f>
        <v>Laundry</v>
      </c>
      <c r="C30" s="43" t="str">
        <v>MDF</v>
      </c>
      <c r="D30" s="43" t="str">
        <v>Mohawk</v>
      </c>
      <c r="E30" s="43" t="str">
        <v>Simple White</v>
      </c>
      <c r="F30" s="43" t="str">
        <v>OC-117, M22-048</v>
      </c>
      <c r="G30" s="44">
        <v>0</v>
      </c>
      <c r="K30" s="22"/>
      <c r="L30" s="13">
        <f>COUNTIF('Inventario Base'!J:J, "🔴 AGOTADO")</f>
        <v>1</v>
      </c>
    </row>
    <row r="31" spans="1:12" ht="19.2" x14ac:dyDescent="0.35">
      <c r="A31" s="41">
        <v>42</v>
      </c>
      <c r="B31" s="42" t="str" cm="1">
        <f t="array" ref="B31:G31">VLOOKUP(A31,'RAW DATA PROYECTS'!B6:M60,{2,4,5,6,7,12},FALSE)</f>
        <v>Hall Bath</v>
      </c>
      <c r="C31" s="43" t="str">
        <v>Maple</v>
      </c>
      <c r="D31" s="43" t="str">
        <v>Mohawk</v>
      </c>
      <c r="E31" s="43" t="str">
        <v>Clear 40</v>
      </c>
      <c r="F31" s="43">
        <v>0</v>
      </c>
      <c r="G31" s="44">
        <v>0</v>
      </c>
      <c r="K31" s="22"/>
    </row>
    <row r="32" spans="1:12" ht="19.2" x14ac:dyDescent="0.35">
      <c r="A32" s="41">
        <v>43</v>
      </c>
      <c r="B32" s="42" t="str" cm="1">
        <f t="array" ref="B32:G32">VLOOKUP(A32,'RAW DATA PROYECTS'!B7:M60,{2,4,5,6,7,12},FALSE)</f>
        <v>Primary Bath</v>
      </c>
      <c r="C32" s="43" t="str">
        <v>Cherry</v>
      </c>
      <c r="D32" s="43" t="str">
        <v>Evo</v>
      </c>
      <c r="E32" s="43" t="str">
        <v>Flat</v>
      </c>
      <c r="F32" s="43" t="str">
        <v>Base 4</v>
      </c>
      <c r="G32" s="44">
        <v>0</v>
      </c>
      <c r="K32" s="22"/>
    </row>
    <row r="33" spans="1:7" ht="15.6" x14ac:dyDescent="0.25">
      <c r="A33" s="41">
        <v>56</v>
      </c>
      <c r="B33" s="42" cm="1">
        <f t="array" ref="B33:G33">VLOOKUP(A33,'RAW DATA PROYECTS'!B8:M60,{2,4,5,6,7,12},FALSE)</f>
        <v>0</v>
      </c>
      <c r="C33" s="43" t="str">
        <v>Maple</v>
      </c>
      <c r="D33" s="43" t="str">
        <v>Mohawk</v>
      </c>
      <c r="E33" s="43" t="str">
        <v>Clear 40</v>
      </c>
      <c r="F33" s="43">
        <v>0</v>
      </c>
      <c r="G33" s="44">
        <v>0</v>
      </c>
    </row>
  </sheetData>
  <mergeCells count="7">
    <mergeCell ref="A24:H24"/>
    <mergeCell ref="B26:G26"/>
    <mergeCell ref="A1:H1"/>
    <mergeCell ref="A2:H2"/>
    <mergeCell ref="A4:H4"/>
    <mergeCell ref="A11:H11"/>
    <mergeCell ref="A16:H1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3B2427-E12E-450F-B1BB-31E283DB4B43}">
          <x14:formula1>
            <xm:f>'RAW DATA PROYECTS'!$A:$A</xm:f>
          </x14:formula1>
          <xm:sqref>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7011-8FCE-4FF5-A4FB-21BB82A64BF8}">
  <dimension ref="A2:O42"/>
  <sheetViews>
    <sheetView topLeftCell="A9" workbookViewId="0">
      <selection activeCell="F37" sqref="F37"/>
    </sheetView>
  </sheetViews>
  <sheetFormatPr baseColWidth="10" defaultRowHeight="13.8" x14ac:dyDescent="0.25"/>
  <cols>
    <col min="1" max="16384" width="11.5546875" style="13"/>
  </cols>
  <sheetData>
    <row r="2" spans="1:12" x14ac:dyDescent="0.25">
      <c r="A2" s="12" t="s">
        <v>330</v>
      </c>
      <c r="E2" s="13" t="s">
        <v>360</v>
      </c>
      <c r="F2" s="12"/>
    </row>
    <row r="3" spans="1:12" x14ac:dyDescent="0.25">
      <c r="A3" s="13" t="s">
        <v>299</v>
      </c>
      <c r="I3" s="45" t="s">
        <v>358</v>
      </c>
    </row>
    <row r="4" spans="1:12" x14ac:dyDescent="0.25">
      <c r="A4" s="13" t="s">
        <v>300</v>
      </c>
      <c r="I4" s="46" t="s">
        <v>318</v>
      </c>
    </row>
    <row r="5" spans="1:12" x14ac:dyDescent="0.25">
      <c r="A5" s="13" t="s">
        <v>301</v>
      </c>
      <c r="I5" s="46" t="s">
        <v>319</v>
      </c>
    </row>
    <row r="6" spans="1:12" x14ac:dyDescent="0.25">
      <c r="I6" s="46" t="s">
        <v>320</v>
      </c>
    </row>
    <row r="7" spans="1:12" x14ac:dyDescent="0.25">
      <c r="A7" s="13" t="s">
        <v>302</v>
      </c>
      <c r="I7" s="46" t="s">
        <v>321</v>
      </c>
    </row>
    <row r="8" spans="1:12" x14ac:dyDescent="0.25">
      <c r="I8" s="46" t="s">
        <v>320</v>
      </c>
    </row>
    <row r="9" spans="1:12" x14ac:dyDescent="0.25">
      <c r="A9" s="13" t="s">
        <v>303</v>
      </c>
      <c r="I9" s="46" t="s">
        <v>322</v>
      </c>
      <c r="L9" s="13" t="s">
        <v>359</v>
      </c>
    </row>
    <row r="10" spans="1:12" x14ac:dyDescent="0.25">
      <c r="A10" s="13" t="s">
        <v>304</v>
      </c>
      <c r="I10" s="46" t="s">
        <v>320</v>
      </c>
    </row>
    <row r="11" spans="1:12" x14ac:dyDescent="0.25">
      <c r="A11" s="13" t="s">
        <v>305</v>
      </c>
      <c r="I11" s="46"/>
    </row>
    <row r="12" spans="1:12" x14ac:dyDescent="0.25">
      <c r="I12" s="46" t="s">
        <v>323</v>
      </c>
    </row>
    <row r="14" spans="1:12" x14ac:dyDescent="0.25">
      <c r="I14" s="12" t="s">
        <v>333</v>
      </c>
    </row>
    <row r="15" spans="1:12" x14ac:dyDescent="0.25">
      <c r="A15" s="12" t="s">
        <v>331</v>
      </c>
      <c r="E15" s="12" t="s">
        <v>332</v>
      </c>
      <c r="I15" s="13" t="s">
        <v>324</v>
      </c>
    </row>
    <row r="16" spans="1:12" x14ac:dyDescent="0.25">
      <c r="A16" s="13" t="s">
        <v>306</v>
      </c>
      <c r="E16" s="13" t="s">
        <v>310</v>
      </c>
      <c r="I16" s="13" t="s">
        <v>325</v>
      </c>
    </row>
    <row r="17" spans="1:15" x14ac:dyDescent="0.25">
      <c r="A17" s="13" t="s">
        <v>307</v>
      </c>
      <c r="E17" s="13" t="s">
        <v>311</v>
      </c>
      <c r="F17" s="13" t="s">
        <v>312</v>
      </c>
      <c r="G17" s="13" t="s">
        <v>313</v>
      </c>
      <c r="I17" s="13" t="s">
        <v>326</v>
      </c>
    </row>
    <row r="18" spans="1:15" x14ac:dyDescent="0.25">
      <c r="A18" s="13" t="s">
        <v>309</v>
      </c>
      <c r="E18" s="13" t="s">
        <v>314</v>
      </c>
    </row>
    <row r="19" spans="1:15" x14ac:dyDescent="0.25">
      <c r="A19" s="13" t="s">
        <v>308</v>
      </c>
      <c r="I19" s="13" t="s">
        <v>327</v>
      </c>
    </row>
    <row r="20" spans="1:15" x14ac:dyDescent="0.25">
      <c r="E20" s="13" t="s">
        <v>315</v>
      </c>
      <c r="I20" s="13" t="s">
        <v>304</v>
      </c>
    </row>
    <row r="21" spans="1:15" x14ac:dyDescent="0.25">
      <c r="E21" s="13" t="s">
        <v>316</v>
      </c>
      <c r="I21" s="13" t="s">
        <v>328</v>
      </c>
    </row>
    <row r="22" spans="1:15" x14ac:dyDescent="0.25">
      <c r="E22" s="13" t="s">
        <v>317</v>
      </c>
    </row>
    <row r="23" spans="1:15" x14ac:dyDescent="0.25">
      <c r="I23" s="13" t="s">
        <v>329</v>
      </c>
    </row>
    <row r="25" spans="1:15" ht="20.399999999999999" x14ac:dyDescent="0.35">
      <c r="A25" s="95" t="s">
        <v>378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O25" s="13" t="s">
        <v>372</v>
      </c>
    </row>
    <row r="27" spans="1:15" x14ac:dyDescent="0.25">
      <c r="A27" s="13" t="s">
        <v>379</v>
      </c>
      <c r="D27" s="13" t="s">
        <v>380</v>
      </c>
      <c r="H27" s="13" t="s">
        <v>403</v>
      </c>
    </row>
    <row r="28" spans="1:15" x14ac:dyDescent="0.25">
      <c r="A28" s="13" t="s">
        <v>381</v>
      </c>
      <c r="H28" s="13" t="s">
        <v>404</v>
      </c>
    </row>
    <row r="29" spans="1:15" x14ac:dyDescent="0.25">
      <c r="A29" s="13" t="s">
        <v>382</v>
      </c>
      <c r="H29" s="13" t="s">
        <v>405</v>
      </c>
    </row>
    <row r="30" spans="1:15" x14ac:dyDescent="0.25">
      <c r="A30" s="13" t="s">
        <v>383</v>
      </c>
    </row>
    <row r="31" spans="1:15" x14ac:dyDescent="0.25">
      <c r="A31" s="13" t="s">
        <v>384</v>
      </c>
    </row>
    <row r="32" spans="1:15" x14ac:dyDescent="0.25">
      <c r="A32" s="13" t="s">
        <v>385</v>
      </c>
    </row>
    <row r="33" spans="1:4" x14ac:dyDescent="0.25">
      <c r="A33" s="13" t="s">
        <v>386</v>
      </c>
    </row>
    <row r="34" spans="1:4" x14ac:dyDescent="0.25">
      <c r="A34" s="13" t="s">
        <v>387</v>
      </c>
    </row>
    <row r="35" spans="1:4" x14ac:dyDescent="0.25">
      <c r="A35" s="13" t="s">
        <v>388</v>
      </c>
    </row>
    <row r="37" spans="1:4" x14ac:dyDescent="0.25">
      <c r="A37" s="13" t="s">
        <v>389</v>
      </c>
      <c r="D37" s="13" t="s">
        <v>390</v>
      </c>
    </row>
    <row r="38" spans="1:4" x14ac:dyDescent="0.25">
      <c r="A38" s="13" t="s">
        <v>391</v>
      </c>
    </row>
    <row r="39" spans="1:4" x14ac:dyDescent="0.25">
      <c r="A39" s="13" t="s">
        <v>392</v>
      </c>
    </row>
    <row r="40" spans="1:4" x14ac:dyDescent="0.25">
      <c r="A40" s="13" t="s">
        <v>393</v>
      </c>
    </row>
    <row r="41" spans="1:4" x14ac:dyDescent="0.25">
      <c r="A41" s="13" t="s">
        <v>394</v>
      </c>
    </row>
    <row r="42" spans="1:4" x14ac:dyDescent="0.25">
      <c r="A42" s="13" t="s">
        <v>395</v>
      </c>
    </row>
  </sheetData>
  <mergeCells count="1">
    <mergeCell ref="A25:K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C73D-B66D-4B1F-9CA8-9B439036248C}">
  <dimension ref="A1:L60"/>
  <sheetViews>
    <sheetView zoomScale="109" workbookViewId="0">
      <pane ySplit="2" topLeftCell="A51" activePane="bottomLeft" state="frozen"/>
      <selection pane="bottomLeft" activeCell="I61" sqref="A61:I64"/>
    </sheetView>
  </sheetViews>
  <sheetFormatPr baseColWidth="10" defaultRowHeight="13.8" x14ac:dyDescent="0.25"/>
  <cols>
    <col min="1" max="1" width="23.33203125" style="13" bestFit="1" customWidth="1"/>
    <col min="2" max="2" width="14.109375" style="13" customWidth="1"/>
    <col min="3" max="3" width="12.77734375" style="13" customWidth="1"/>
    <col min="4" max="4" width="29.5546875" style="13" bestFit="1" customWidth="1"/>
    <col min="5" max="5" width="21.88671875" style="13" customWidth="1"/>
    <col min="6" max="6" width="16.77734375" style="13" customWidth="1"/>
    <col min="7" max="7" width="19" style="13" customWidth="1"/>
    <col min="8" max="8" width="24.109375" style="13" customWidth="1"/>
    <col min="9" max="9" width="26.109375" style="13" bestFit="1" customWidth="1"/>
    <col min="10" max="16384" width="11.5546875" style="13"/>
  </cols>
  <sheetData>
    <row r="1" spans="1:12" ht="24.6" customHeight="1" x14ac:dyDescent="0.35">
      <c r="A1" s="96" t="s">
        <v>364</v>
      </c>
      <c r="B1" s="96"/>
      <c r="C1" s="96"/>
      <c r="D1" s="96"/>
      <c r="E1" s="96"/>
      <c r="F1" s="96"/>
      <c r="G1" s="96"/>
      <c r="H1" s="96"/>
      <c r="I1" s="96"/>
    </row>
    <row r="2" spans="1:12" ht="15.6" x14ac:dyDescent="0.3">
      <c r="A2" s="80" t="s">
        <v>221</v>
      </c>
      <c r="B2" s="80" t="s">
        <v>1</v>
      </c>
      <c r="C2" s="80" t="s">
        <v>65</v>
      </c>
      <c r="D2" s="80" t="s">
        <v>0</v>
      </c>
      <c r="E2" s="80" t="s">
        <v>352</v>
      </c>
      <c r="F2" s="80" t="s">
        <v>353</v>
      </c>
      <c r="G2" s="80" t="s">
        <v>354</v>
      </c>
      <c r="H2" s="80" t="s">
        <v>355</v>
      </c>
      <c r="I2" s="80" t="s">
        <v>9</v>
      </c>
    </row>
    <row r="3" spans="1:12" x14ac:dyDescent="0.25">
      <c r="A3" s="14">
        <f>'RAW DATA PROYECTS'!B3</f>
        <v>1</v>
      </c>
      <c r="B3" s="14" t="str">
        <f>INDEX('RAW DATA PROYECTS'!A:A, MATCH(A3, 'RAW DATA PROYECTS'!B:B, 0))</f>
        <v>Jen Herself.</v>
      </c>
      <c r="C3" s="14"/>
      <c r="D3" s="15" cm="1">
        <f t="array" ref="D3">MIN(IF(Bitacora!$G:$G=B3, Bitacora!$B:$B))</f>
        <v>0</v>
      </c>
      <c r="E3" s="15" cm="1">
        <f t="array" ref="E3">MAX(IF(Bitacora!$G:$G=B3, Bitacora!$C:$C))</f>
        <v>0</v>
      </c>
      <c r="F3" s="14" t="str">
        <f>'RAW DATA PROYECTS'!N3</f>
        <v>Terminado</v>
      </c>
      <c r="G3" s="14" t="e">
        <f>INDEX(Bitacora!$F:$F, MATCH(E3, Bitacora!$C:$C, 0))</f>
        <v>#N/A</v>
      </c>
      <c r="H3" s="14">
        <f ca="1">IF(F3="Delivery", E3-D3, TODAY()-E3)</f>
        <v>46109</v>
      </c>
      <c r="I3" s="14" t="str">
        <f>IF(F3="Terminado", "✅ Completado",
    IF(F3="", "⏸️ Sin iniciar",
        "🔄 En proceso - " &amp; F3
    )
)</f>
        <v>✅ Completado</v>
      </c>
    </row>
    <row r="4" spans="1:12" x14ac:dyDescent="0.25">
      <c r="A4" s="14">
        <f>'RAW DATA PROYECTS'!B4</f>
        <v>2</v>
      </c>
      <c r="B4" s="14" t="str">
        <f>INDEX('RAW DATA PROYECTS'!A:A, MATCH(A4, 'RAW DATA PROYECTS'!B:B, 0))</f>
        <v>Peetz</v>
      </c>
      <c r="C4" s="14"/>
      <c r="D4" s="15" cm="1">
        <f t="array" ref="D4">MIN(IF(Bitacora!$G:$G=B4, Bitacora!$B:$B))</f>
        <v>0</v>
      </c>
      <c r="E4" s="15" cm="1">
        <f t="array" ref="E4">MAX(IF(Bitacora!$G:$G=B4, Bitacora!$C:$C))</f>
        <v>0</v>
      </c>
      <c r="F4" s="14" t="str">
        <f>'RAW DATA PROYECTS'!N4</f>
        <v>Terminado</v>
      </c>
      <c r="G4" s="14" t="e">
        <f>INDEX(Bitacora!$F:$F, MATCH(E4, Bitacora!$C:$C, 0))</f>
        <v>#N/A</v>
      </c>
      <c r="H4" s="14">
        <f t="shared" ref="H4:H10" ca="1" si="0">IF(F4="Delivery", E4-D4, TODAY()-E4)</f>
        <v>46109</v>
      </c>
      <c r="I4" s="14" t="str">
        <f t="shared" ref="I4:I10" si="1">IF(F4="Terminado", "✅ Completado",
    IF(F4="", "⏸️ Sin iniciar",
        "🔄 En proceso - " &amp; F4
    )
)</f>
        <v>✅ Completado</v>
      </c>
    </row>
    <row r="5" spans="1:12" x14ac:dyDescent="0.25">
      <c r="A5" s="14">
        <f>'RAW DATA PROYECTS'!B5</f>
        <v>3</v>
      </c>
      <c r="B5" s="14">
        <f>INDEX('RAW DATA PROYECTS'!A:A, MATCH(A5, 'RAW DATA PROYECTS'!B:B, 0))</f>
        <v>0</v>
      </c>
      <c r="C5" s="14"/>
      <c r="D5" s="15" cm="1">
        <f t="array" ref="D5">MIN(IF(Bitacora!$G:$G=B5, Bitacora!$B:$B))</f>
        <v>0</v>
      </c>
      <c r="E5" s="15" cm="1">
        <f t="array" ref="E5">MAX(IF(Bitacora!$G:$G=B5, Bitacora!$C:$C))</f>
        <v>46071</v>
      </c>
      <c r="F5" s="14" t="str">
        <f>'RAW DATA PROYECTS'!N5</f>
        <v>Terminado</v>
      </c>
      <c r="G5" s="14" t="str">
        <f>INDEX(Bitacora!$F:$F, MATCH(E5, Bitacora!$C:$C, 0))</f>
        <v>Puertas/Tapas</v>
      </c>
      <c r="H5" s="14">
        <f t="shared" ca="1" si="0"/>
        <v>38</v>
      </c>
      <c r="I5" s="14" t="str">
        <f t="shared" si="1"/>
        <v>✅ Completado</v>
      </c>
    </row>
    <row r="6" spans="1:12" x14ac:dyDescent="0.25">
      <c r="A6" s="14">
        <f>'RAW DATA PROYECTS'!B6</f>
        <v>4</v>
      </c>
      <c r="B6" s="14" t="str">
        <f>INDEX('RAW DATA PROYECTS'!A:A, MATCH(A6, 'RAW DATA PROYECTS'!B:B, 0))</f>
        <v>Ramce</v>
      </c>
      <c r="C6" s="14"/>
      <c r="D6" s="15" cm="1">
        <f t="array" ref="D6">MIN(IF(Bitacora!$G:$G=B6, Bitacora!$B:$B))</f>
        <v>0</v>
      </c>
      <c r="E6" s="15" cm="1">
        <f t="array" ref="E6">MAX(IF(Bitacora!$G:$G=B6, Bitacora!$C:$C))</f>
        <v>0</v>
      </c>
      <c r="F6" s="14" t="str">
        <f>'RAW DATA PROYECTS'!N6</f>
        <v>Terminado</v>
      </c>
      <c r="G6" s="14" t="e">
        <f>INDEX(Bitacora!$F:$F, MATCH(E6, Bitacora!$C:$C, 0))</f>
        <v>#N/A</v>
      </c>
      <c r="H6" s="14">
        <f t="shared" ca="1" si="0"/>
        <v>46109</v>
      </c>
      <c r="I6" s="14" t="str">
        <f t="shared" si="1"/>
        <v>✅ Completado</v>
      </c>
    </row>
    <row r="7" spans="1:12" ht="14.4" x14ac:dyDescent="0.3">
      <c r="A7" s="14">
        <f>'RAW DATA PROYECTS'!B7</f>
        <v>5</v>
      </c>
      <c r="B7" s="14">
        <f>INDEX('RAW DATA PROYECTS'!A:A, MATCH(A7, 'RAW DATA PROYECTS'!B:B, 0))</f>
        <v>0</v>
      </c>
      <c r="C7" s="14"/>
      <c r="D7" s="15" cm="1">
        <f t="array" ref="D7">MIN(IF(Bitacora!$G:$G=B7, Bitacora!$B:$B))</f>
        <v>0</v>
      </c>
      <c r="E7" s="15" cm="1">
        <f t="array" ref="E7">MAX(IF(Bitacora!$G:$G=B7, Bitacora!$C:$C))</f>
        <v>46071</v>
      </c>
      <c r="F7" s="14" t="str">
        <f>'RAW DATA PROYECTS'!N7</f>
        <v>Terminado</v>
      </c>
      <c r="G7" s="14" t="str">
        <f>INDEX(Bitacora!$F:$F, MATCH(E7, Bitacora!$C:$C, 0))</f>
        <v>Puertas/Tapas</v>
      </c>
      <c r="H7" s="14">
        <f t="shared" ca="1" si="0"/>
        <v>38</v>
      </c>
      <c r="I7" s="14" t="str">
        <f t="shared" si="1"/>
        <v>✅ Completado</v>
      </c>
      <c r="L7"/>
    </row>
    <row r="8" spans="1:12" ht="14.4" x14ac:dyDescent="0.3">
      <c r="A8" s="14">
        <f>'RAW DATA PROYECTS'!B8</f>
        <v>6</v>
      </c>
      <c r="B8" s="14">
        <f>INDEX('RAW DATA PROYECTS'!A:A, MATCH(A8, 'RAW DATA PROYECTS'!B:B, 0))</f>
        <v>0</v>
      </c>
      <c r="C8" s="14"/>
      <c r="D8" s="15" cm="1">
        <f t="array" ref="D8">MIN(IF(Bitacora!$G:$G=B8, Bitacora!$B:$B))</f>
        <v>0</v>
      </c>
      <c r="E8" s="15" cm="1">
        <f t="array" ref="E8">MAX(IF(Bitacora!$G:$G=B8, Bitacora!$C:$C))</f>
        <v>46071</v>
      </c>
      <c r="F8" s="14" t="str">
        <f>'RAW DATA PROYECTS'!N8</f>
        <v>Terminado</v>
      </c>
      <c r="G8" s="14" t="str">
        <f>INDEX(Bitacora!$F:$F, MATCH(E8, Bitacora!$C:$C, 0))</f>
        <v>Puertas/Tapas</v>
      </c>
      <c r="H8" s="14">
        <f t="shared" ca="1" si="0"/>
        <v>38</v>
      </c>
      <c r="I8" s="14" t="str">
        <f t="shared" si="1"/>
        <v>✅ Completado</v>
      </c>
      <c r="L8"/>
    </row>
    <row r="9" spans="1:12" x14ac:dyDescent="0.25">
      <c r="A9" s="14">
        <f>'RAW DATA PROYECTS'!B9</f>
        <v>7</v>
      </c>
      <c r="B9" s="14" t="str">
        <f>INDEX('RAW DATA PROYECTS'!A:A, MATCH(A9, 'RAW DATA PROYECTS'!B:B, 0))</f>
        <v>Baileanna</v>
      </c>
      <c r="C9" s="14"/>
      <c r="D9" s="15" cm="1">
        <f t="array" ref="D9">MIN(IF(Bitacora!$G:$G=B9, Bitacora!$B:$B))</f>
        <v>0</v>
      </c>
      <c r="E9" s="15" cm="1">
        <f t="array" ref="E9">MAX(IF(Bitacora!$G:$G=B9, Bitacora!$C:$C))</f>
        <v>0</v>
      </c>
      <c r="F9" s="14" t="str">
        <f>'RAW DATA PROYECTS'!N9</f>
        <v>Terminado</v>
      </c>
      <c r="G9" s="14" t="e">
        <f>INDEX(Bitacora!$F:$F, MATCH(E9, Bitacora!$C:$C, 0))</f>
        <v>#N/A</v>
      </c>
      <c r="H9" s="14">
        <f t="shared" ca="1" si="0"/>
        <v>46109</v>
      </c>
      <c r="I9" s="14" t="str">
        <f t="shared" si="1"/>
        <v>✅ Completado</v>
      </c>
    </row>
    <row r="10" spans="1:12" x14ac:dyDescent="0.25">
      <c r="A10" s="14">
        <f>'RAW DATA PROYECTS'!B10</f>
        <v>8</v>
      </c>
      <c r="B10" s="14" t="str">
        <f>INDEX('RAW DATA PROYECTS'!A:A, MATCH(A10, 'RAW DATA PROYECTS'!B:B, 0))</f>
        <v>Shaw</v>
      </c>
      <c r="C10" s="14"/>
      <c r="D10" s="15" cm="1">
        <f t="array" ref="D10">MIN(IF(Bitacora!$G:$G=B10, Bitacora!$B:$B))</f>
        <v>0</v>
      </c>
      <c r="E10" s="15" cm="1">
        <f t="array" ref="E10">MAX(IF(Bitacora!$G:$G=B10, Bitacora!$C:$C))</f>
        <v>0</v>
      </c>
      <c r="F10" s="14" t="str">
        <f>'RAW DATA PROYECTS'!N10</f>
        <v>Terminado</v>
      </c>
      <c r="G10" s="14" t="e">
        <f>INDEX(Bitacora!$F:$F, MATCH(E10, Bitacora!$C:$C, 0))</f>
        <v>#N/A</v>
      </c>
      <c r="H10" s="14">
        <f t="shared" ca="1" si="0"/>
        <v>46109</v>
      </c>
      <c r="I10" s="14" t="str">
        <f t="shared" si="1"/>
        <v>✅ Completado</v>
      </c>
    </row>
    <row r="11" spans="1:12" x14ac:dyDescent="0.25">
      <c r="A11" s="14">
        <f>'RAW DATA PROYECTS'!B11</f>
        <v>9</v>
      </c>
      <c r="B11" s="14" t="str">
        <f>INDEX('RAW DATA PROYECTS'!A:A, MATCH(A11, 'RAW DATA PROYECTS'!B:B, 0))</f>
        <v>Hubring</v>
      </c>
      <c r="C11" s="14"/>
      <c r="D11" s="15" cm="1">
        <f t="array" ref="D11">MIN(IF(Bitacora!$G:$G=B11, Bitacora!$B:$B))</f>
        <v>0</v>
      </c>
      <c r="E11" s="15" cm="1">
        <f t="array" ref="E11">MAX(IF(Bitacora!$G:$G=B11, Bitacora!$C:$C))</f>
        <v>0</v>
      </c>
      <c r="F11" s="14" t="str">
        <f>'RAW DATA PROYECTS'!N11</f>
        <v>Terminado</v>
      </c>
      <c r="G11" s="14" t="e">
        <f>INDEX(Bitacora!$F:$F, MATCH(E11, Bitacora!$C:$C, 0))</f>
        <v>#N/A</v>
      </c>
      <c r="H11" s="14">
        <f t="shared" ref="H11:H60" ca="1" si="2">IF(F11="Delivery", E11-D11, TODAY()-E11)</f>
        <v>46109</v>
      </c>
      <c r="I11" s="14" t="str">
        <f t="shared" ref="I11:I60" si="3">IF(F11="Terminado", "✅ Completado",
    IF(F11="", "⏸️ Sin iniciar",
        "🔄 En proceso - " &amp; F11
    )
)</f>
        <v>✅ Completado</v>
      </c>
    </row>
    <row r="12" spans="1:12" ht="14.4" x14ac:dyDescent="0.3">
      <c r="A12" s="14">
        <f>'RAW DATA PROYECTS'!B12</f>
        <v>10</v>
      </c>
      <c r="B12" s="14" t="str">
        <f>INDEX('RAW DATA PROYECTS'!A:A, MATCH(A12, 'RAW DATA PROYECTS'!B:B, 0))</f>
        <v>Dalerample</v>
      </c>
      <c r="C12" s="14"/>
      <c r="D12" s="15" cm="1">
        <f t="array" ref="D12">MIN(IF(Bitacora!$G:$G=B12, Bitacora!$B:$B))</f>
        <v>0</v>
      </c>
      <c r="E12" s="15" cm="1">
        <f t="array" ref="E12">MAX(IF(Bitacora!$G:$G=B12, Bitacora!$C:$C))</f>
        <v>0</v>
      </c>
      <c r="F12" s="14" t="str">
        <f>'RAW DATA PROYECTS'!N12</f>
        <v>Terminado</v>
      </c>
      <c r="G12" s="14" t="e">
        <f>INDEX(Bitacora!$F:$F, MATCH(E12, Bitacora!$C:$C, 0))</f>
        <v>#N/A</v>
      </c>
      <c r="H12" s="14">
        <f t="shared" ca="1" si="2"/>
        <v>46109</v>
      </c>
      <c r="I12" s="14" t="str">
        <f t="shared" si="3"/>
        <v>✅ Completado</v>
      </c>
      <c r="K12" s="16" t="s">
        <v>3</v>
      </c>
    </row>
    <row r="13" spans="1:12" x14ac:dyDescent="0.25">
      <c r="A13" s="14">
        <f>'RAW DATA PROYECTS'!B13</f>
        <v>11</v>
      </c>
      <c r="B13" s="14" t="str">
        <f>INDEX('RAW DATA PROYECTS'!A:A, MATCH(A13, 'RAW DATA PROYECTS'!B:B, 0))</f>
        <v>Via Romero</v>
      </c>
      <c r="C13" s="14"/>
      <c r="D13" s="15" cm="1">
        <f t="array" ref="D13">MIN(IF(Bitacora!$G:$G=B13, Bitacora!$B:$B))</f>
        <v>0</v>
      </c>
      <c r="E13" s="15" cm="1">
        <f t="array" ref="E13">MAX(IF(Bitacora!$G:$G=B13, Bitacora!$C:$C))</f>
        <v>0</v>
      </c>
      <c r="F13" s="14" t="str">
        <f>'RAW DATA PROYECTS'!N13</f>
        <v>Terminado</v>
      </c>
      <c r="G13" s="14" t="e">
        <f>INDEX(Bitacora!$F:$F, MATCH(E13, Bitacora!$C:$C, 0))</f>
        <v>#N/A</v>
      </c>
      <c r="H13" s="14">
        <f t="shared" ca="1" si="2"/>
        <v>46109</v>
      </c>
      <c r="I13" s="14" t="str">
        <f t="shared" si="3"/>
        <v>✅ Completado</v>
      </c>
      <c r="K13" s="13" t="s">
        <v>357</v>
      </c>
    </row>
    <row r="14" spans="1:12" x14ac:dyDescent="0.25">
      <c r="A14" s="14">
        <f>'RAW DATA PROYECTS'!B14</f>
        <v>12</v>
      </c>
      <c r="B14" s="14" t="str">
        <f>INDEX('RAW DATA PROYECTS'!A:A, MATCH(A14, 'RAW DATA PROYECTS'!B:B, 0))</f>
        <v>Via Romero</v>
      </c>
      <c r="C14" s="14"/>
      <c r="D14" s="15" cm="1">
        <f t="array" ref="D14">MIN(IF(Bitacora!$G:$G=B14, Bitacora!$B:$B))</f>
        <v>0</v>
      </c>
      <c r="E14" s="15" cm="1">
        <f t="array" ref="E14">MAX(IF(Bitacora!$G:$G=B14, Bitacora!$C:$C))</f>
        <v>0</v>
      </c>
      <c r="F14" s="14" t="str">
        <f>'RAW DATA PROYECTS'!N14</f>
        <v>Terminado</v>
      </c>
      <c r="G14" s="14" t="e">
        <f>INDEX(Bitacora!$F:$F, MATCH(E14, Bitacora!$C:$C, 0))</f>
        <v>#N/A</v>
      </c>
      <c r="H14" s="14">
        <f t="shared" ca="1" si="2"/>
        <v>46109</v>
      </c>
      <c r="I14" s="14" t="str">
        <f t="shared" si="3"/>
        <v>✅ Completado</v>
      </c>
    </row>
    <row r="15" spans="1:12" x14ac:dyDescent="0.25">
      <c r="A15" s="14">
        <f>'RAW DATA PROYECTS'!B15</f>
        <v>13</v>
      </c>
      <c r="B15" s="14" t="str">
        <f>INDEX('RAW DATA PROYECTS'!A:A, MATCH(A15, 'RAW DATA PROYECTS'!B:B, 0))</f>
        <v>Hardinger</v>
      </c>
      <c r="C15" s="14"/>
      <c r="D15" s="15" cm="1">
        <f t="array" ref="D15">MIN(IF(Bitacora!$G:$G=B15, Bitacora!$B:$B))</f>
        <v>0</v>
      </c>
      <c r="E15" s="15" cm="1">
        <f t="array" ref="E15">MAX(IF(Bitacora!$G:$G=B15, Bitacora!$C:$C))</f>
        <v>0</v>
      </c>
      <c r="F15" s="14" t="str">
        <f>'RAW DATA PROYECTS'!N15</f>
        <v>Terminado</v>
      </c>
      <c r="G15" s="14" t="e">
        <f>INDEX(Bitacora!$F:$F, MATCH(E15, Bitacora!$C:$C, 0))</f>
        <v>#N/A</v>
      </c>
      <c r="H15" s="14">
        <f t="shared" ca="1" si="2"/>
        <v>46109</v>
      </c>
      <c r="I15" s="14" t="str">
        <f t="shared" si="3"/>
        <v>✅ Completado</v>
      </c>
    </row>
    <row r="16" spans="1:12" x14ac:dyDescent="0.25">
      <c r="A16" s="14">
        <f>'RAW DATA PROYECTS'!B16</f>
        <v>14</v>
      </c>
      <c r="B16" s="14" t="str">
        <f>INDEX('RAW DATA PROYECTS'!A:A, MATCH(A16, 'RAW DATA PROYECTS'!B:B, 0))</f>
        <v>Mahoney</v>
      </c>
      <c r="C16" s="14"/>
      <c r="D16" s="15" cm="1">
        <f t="array" ref="D16">MIN(IF(Bitacora!$G:$G=B16, Bitacora!$B:$B))</f>
        <v>0</v>
      </c>
      <c r="E16" s="15" cm="1">
        <f t="array" ref="E16">MAX(IF(Bitacora!$G:$G=B16, Bitacora!$C:$C))</f>
        <v>0</v>
      </c>
      <c r="F16" s="14" t="str">
        <f>'RAW DATA PROYECTS'!N16</f>
        <v>Terminado</v>
      </c>
      <c r="G16" s="14" t="e">
        <f>INDEX(Bitacora!$F:$F, MATCH(E16, Bitacora!$C:$C, 0))</f>
        <v>#N/A</v>
      </c>
      <c r="H16" s="14">
        <f t="shared" ca="1" si="2"/>
        <v>46109</v>
      </c>
      <c r="I16" s="14" t="str">
        <f t="shared" si="3"/>
        <v>✅ Completado</v>
      </c>
    </row>
    <row r="17" spans="1:9" x14ac:dyDescent="0.25">
      <c r="A17" s="14">
        <f>'RAW DATA PROYECTS'!B17</f>
        <v>15</v>
      </c>
      <c r="B17" s="14" t="str">
        <f>INDEX('RAW DATA PROYECTS'!A:A, MATCH(A17, 'RAW DATA PROYECTS'!B:B, 0))</f>
        <v>Juan</v>
      </c>
      <c r="C17" s="14"/>
      <c r="D17" s="15" cm="1">
        <f t="array" ref="D17">MIN(IF(Bitacora!$G:$G=B17, Bitacora!$B:$B))</f>
        <v>46069</v>
      </c>
      <c r="E17" s="15" cm="1">
        <f t="array" ref="E17">MAX(IF(Bitacora!$G:$G=B17, Bitacora!$C:$C))</f>
        <v>46071</v>
      </c>
      <c r="F17" s="14" t="str">
        <f>'RAW DATA PROYECTS'!N17</f>
        <v>Terminado</v>
      </c>
      <c r="G17" s="14" t="str">
        <f>INDEX(Bitacora!$F:$F, MATCH(E17, Bitacora!$C:$C, 0))</f>
        <v>Puertas/Tapas</v>
      </c>
      <c r="H17" s="14">
        <f t="shared" ca="1" si="2"/>
        <v>38</v>
      </c>
      <c r="I17" s="14" t="str">
        <f t="shared" si="3"/>
        <v>✅ Completado</v>
      </c>
    </row>
    <row r="18" spans="1:9" x14ac:dyDescent="0.25">
      <c r="A18" s="14">
        <f>'RAW DATA PROYECTS'!B18</f>
        <v>16</v>
      </c>
      <c r="B18" s="14" t="str">
        <f>INDEX('RAW DATA PROYECTS'!A:A, MATCH(A18, 'RAW DATA PROYECTS'!B:B, 0))</f>
        <v>Salvatierra</v>
      </c>
      <c r="C18" s="14"/>
      <c r="D18" s="15" cm="1">
        <f t="array" ref="D18">MIN(IF(Bitacora!$G:$G=B18, Bitacora!$B:$B))</f>
        <v>0</v>
      </c>
      <c r="E18" s="15" cm="1">
        <f t="array" ref="E18">MAX(IF(Bitacora!$G:$G=B18, Bitacora!$C:$C))</f>
        <v>0</v>
      </c>
      <c r="F18" s="14" t="str">
        <f>'RAW DATA PROYECTS'!N18</f>
        <v>Terminado</v>
      </c>
      <c r="G18" s="14" t="e">
        <f>INDEX(Bitacora!$F:$F, MATCH(E18, Bitacora!$C:$C, 0))</f>
        <v>#N/A</v>
      </c>
      <c r="H18" s="14">
        <f t="shared" ca="1" si="2"/>
        <v>46109</v>
      </c>
      <c r="I18" s="14" t="str">
        <f t="shared" si="3"/>
        <v>✅ Completado</v>
      </c>
    </row>
    <row r="19" spans="1:9" x14ac:dyDescent="0.25">
      <c r="A19" s="14">
        <f>'RAW DATA PROYECTS'!B19</f>
        <v>17</v>
      </c>
      <c r="B19" s="14" t="str">
        <f>INDEX('RAW DATA PROYECTS'!A:A, MATCH(A19, 'RAW DATA PROYECTS'!B:B, 0))</f>
        <v>Belesis</v>
      </c>
      <c r="C19" s="14"/>
      <c r="D19" s="15" cm="1">
        <f t="array" ref="D19">MIN(IF(Bitacora!$G:$G=B19, Bitacora!$B:$B))</f>
        <v>0</v>
      </c>
      <c r="E19" s="15" cm="1">
        <f t="array" ref="E19">MAX(IF(Bitacora!$G:$G=B19, Bitacora!$C:$C))</f>
        <v>0</v>
      </c>
      <c r="F19" s="14" t="str">
        <f>'RAW DATA PROYECTS'!N19</f>
        <v>Terminado</v>
      </c>
      <c r="G19" s="14" t="e">
        <f>INDEX(Bitacora!$F:$F, MATCH(E19, Bitacora!$C:$C, 0))</f>
        <v>#N/A</v>
      </c>
      <c r="H19" s="14">
        <f t="shared" ca="1" si="2"/>
        <v>46109</v>
      </c>
      <c r="I19" s="14" t="str">
        <f t="shared" si="3"/>
        <v>✅ Completado</v>
      </c>
    </row>
    <row r="20" spans="1:9" x14ac:dyDescent="0.25">
      <c r="A20" s="14">
        <f>'RAW DATA PROYECTS'!B20</f>
        <v>18</v>
      </c>
      <c r="B20" s="14" t="str">
        <f>INDEX('RAW DATA PROYECTS'!A:A, MATCH(A20, 'RAW DATA PROYECTS'!B:B, 0))</f>
        <v>Belesis</v>
      </c>
      <c r="C20" s="14"/>
      <c r="D20" s="15" cm="1">
        <f t="array" ref="D20">MIN(IF(Bitacora!$G:$G=B20, Bitacora!$B:$B))</f>
        <v>0</v>
      </c>
      <c r="E20" s="15" cm="1">
        <f t="array" ref="E20">MAX(IF(Bitacora!$G:$G=B20, Bitacora!$C:$C))</f>
        <v>0</v>
      </c>
      <c r="F20" s="14" t="str">
        <f>'RAW DATA PROYECTS'!N20</f>
        <v>Terminado</v>
      </c>
      <c r="G20" s="14" t="e">
        <f>INDEX(Bitacora!$F:$F, MATCH(E20, Bitacora!$C:$C, 0))</f>
        <v>#N/A</v>
      </c>
      <c r="H20" s="14">
        <f t="shared" ca="1" si="2"/>
        <v>46109</v>
      </c>
      <c r="I20" s="14" t="str">
        <f t="shared" si="3"/>
        <v>✅ Completado</v>
      </c>
    </row>
    <row r="21" spans="1:9" x14ac:dyDescent="0.25">
      <c r="A21" s="14">
        <f>'RAW DATA PROYECTS'!B21</f>
        <v>19</v>
      </c>
      <c r="B21" s="14" t="str">
        <f>INDEX('RAW DATA PROYECTS'!A:A, MATCH(A21, 'RAW DATA PROYECTS'!B:B, 0))</f>
        <v>Belagio</v>
      </c>
      <c r="C21" s="14"/>
      <c r="D21" s="15" cm="1">
        <f t="array" ref="D21">MIN(IF(Bitacora!$G:$G=B21, Bitacora!$B:$B))</f>
        <v>0</v>
      </c>
      <c r="E21" s="15" cm="1">
        <f t="array" ref="E21">MAX(IF(Bitacora!$G:$G=B21, Bitacora!$C:$C))</f>
        <v>0</v>
      </c>
      <c r="F21" s="14" t="str">
        <f>'RAW DATA PROYECTS'!N21</f>
        <v>Terminado</v>
      </c>
      <c r="G21" s="14" t="e">
        <f>INDEX(Bitacora!$F:$F, MATCH(E21, Bitacora!$C:$C, 0))</f>
        <v>#N/A</v>
      </c>
      <c r="H21" s="14">
        <f t="shared" ca="1" si="2"/>
        <v>46109</v>
      </c>
      <c r="I21" s="14" t="str">
        <f t="shared" si="3"/>
        <v>✅ Completado</v>
      </c>
    </row>
    <row r="22" spans="1:9" x14ac:dyDescent="0.25">
      <c r="A22" s="14">
        <f>'RAW DATA PROYECTS'!B22</f>
        <v>20</v>
      </c>
      <c r="B22" s="14" t="str">
        <f>INDEX('RAW DATA PROYECTS'!A:A, MATCH(A22, 'RAW DATA PROYECTS'!B:B, 0))</f>
        <v>Patrick</v>
      </c>
      <c r="C22" s="14"/>
      <c r="D22" s="15" cm="1">
        <f t="array" ref="D22">MIN(IF(Bitacora!$G:$G=B22, Bitacora!$B:$B))</f>
        <v>0</v>
      </c>
      <c r="E22" s="15" cm="1">
        <f t="array" ref="E22">MAX(IF(Bitacora!$G:$G=B22, Bitacora!$C:$C))</f>
        <v>0</v>
      </c>
      <c r="F22" s="14" t="str">
        <f>'RAW DATA PROYECTS'!N22</f>
        <v>Terminado</v>
      </c>
      <c r="G22" s="14" t="e">
        <f>INDEX(Bitacora!$F:$F, MATCH(E22, Bitacora!$C:$C, 0))</f>
        <v>#N/A</v>
      </c>
      <c r="H22" s="14">
        <f t="shared" ca="1" si="2"/>
        <v>46109</v>
      </c>
      <c r="I22" s="14" t="str">
        <f t="shared" si="3"/>
        <v>✅ Completado</v>
      </c>
    </row>
    <row r="23" spans="1:9" x14ac:dyDescent="0.25">
      <c r="A23" s="14">
        <f>'RAW DATA PROYECTS'!B23</f>
        <v>21</v>
      </c>
      <c r="B23" s="14" t="str">
        <f>INDEX('RAW DATA PROYECTS'!A:A, MATCH(A23, 'RAW DATA PROYECTS'!B:B, 0))</f>
        <v>Clarkin</v>
      </c>
      <c r="C23" s="14"/>
      <c r="D23" s="15" cm="1">
        <f t="array" ref="D23">MIN(IF(Bitacora!$G:$G=B23, Bitacora!$B:$B))</f>
        <v>0</v>
      </c>
      <c r="E23" s="15" cm="1">
        <f t="array" ref="E23">MAX(IF(Bitacora!$G:$G=B23, Bitacora!$C:$C))</f>
        <v>0</v>
      </c>
      <c r="F23" s="14" t="str">
        <f>'RAW DATA PROYECTS'!N23</f>
        <v>Terminado</v>
      </c>
      <c r="G23" s="14" t="e">
        <f>INDEX(Bitacora!$F:$F, MATCH(E23, Bitacora!$C:$C, 0))</f>
        <v>#N/A</v>
      </c>
      <c r="H23" s="14">
        <f t="shared" ca="1" si="2"/>
        <v>46109</v>
      </c>
      <c r="I23" s="14" t="str">
        <f t="shared" si="3"/>
        <v>✅ Completado</v>
      </c>
    </row>
    <row r="24" spans="1:9" x14ac:dyDescent="0.25">
      <c r="A24" s="14">
        <f>'RAW DATA PROYECTS'!B24</f>
        <v>22</v>
      </c>
      <c r="B24" s="14" t="str">
        <f>INDEX('RAW DATA PROYECTS'!A:A, MATCH(A24, 'RAW DATA PROYECTS'!B:B, 0))</f>
        <v>Sherman</v>
      </c>
      <c r="C24" s="14"/>
      <c r="D24" s="15" cm="1">
        <f t="array" ref="D24">MIN(IF(Bitacora!$G:$G=B24, Bitacora!$B:$B))</f>
        <v>0</v>
      </c>
      <c r="E24" s="15" cm="1">
        <f t="array" ref="E24">MAX(IF(Bitacora!$G:$G=B24, Bitacora!$C:$C))</f>
        <v>0</v>
      </c>
      <c r="F24" s="14" t="str">
        <f>'RAW DATA PROYECTS'!N24</f>
        <v>Terminado</v>
      </c>
      <c r="G24" s="14" t="e">
        <f>INDEX(Bitacora!$F:$F, MATCH(E24, Bitacora!$C:$C, 0))</f>
        <v>#N/A</v>
      </c>
      <c r="H24" s="14">
        <f t="shared" ca="1" si="2"/>
        <v>46109</v>
      </c>
      <c r="I24" s="14" t="str">
        <f t="shared" si="3"/>
        <v>✅ Completado</v>
      </c>
    </row>
    <row r="25" spans="1:9" x14ac:dyDescent="0.25">
      <c r="A25" s="14">
        <f>'RAW DATA PROYECTS'!B25</f>
        <v>23</v>
      </c>
      <c r="B25" s="14" t="str">
        <f>INDEX('RAW DATA PROYECTS'!A:A, MATCH(A25, 'RAW DATA PROYECTS'!B:B, 0))</f>
        <v>Brad</v>
      </c>
      <c r="C25" s="14"/>
      <c r="D25" s="15" cm="1">
        <f t="array" ref="D25">MIN(IF(Bitacora!$G:$G=B25, Bitacora!$B:$B))</f>
        <v>0</v>
      </c>
      <c r="E25" s="15" cm="1">
        <f t="array" ref="E25">MAX(IF(Bitacora!$G:$G=B25, Bitacora!$C:$C))</f>
        <v>0</v>
      </c>
      <c r="F25" s="14" t="str">
        <f>'RAW DATA PROYECTS'!N25</f>
        <v>Terminado</v>
      </c>
      <c r="G25" s="14" t="e">
        <f>INDEX(Bitacora!$F:$F, MATCH(E25, Bitacora!$C:$C, 0))</f>
        <v>#N/A</v>
      </c>
      <c r="H25" s="14">
        <f t="shared" ca="1" si="2"/>
        <v>46109</v>
      </c>
      <c r="I25" s="14" t="str">
        <f t="shared" si="3"/>
        <v>✅ Completado</v>
      </c>
    </row>
    <row r="26" spans="1:9" x14ac:dyDescent="0.25">
      <c r="A26" s="14">
        <f>'RAW DATA PROYECTS'!B26</f>
        <v>24</v>
      </c>
      <c r="B26" s="14" t="str">
        <f>INDEX('RAW DATA PROYECTS'!A:A, MATCH(A26, 'RAW DATA PROYECTS'!B:B, 0))</f>
        <v>Hubring</v>
      </c>
      <c r="C26" s="14"/>
      <c r="D26" s="15" cm="1">
        <f t="array" ref="D26">MIN(IF(Bitacora!$G:$G=B26, Bitacora!$B:$B))</f>
        <v>0</v>
      </c>
      <c r="E26" s="15" cm="1">
        <f t="array" ref="E26">MAX(IF(Bitacora!$G:$G=B26, Bitacora!$C:$C))</f>
        <v>0</v>
      </c>
      <c r="F26" s="14" t="str">
        <f>'RAW DATA PROYECTS'!N26</f>
        <v>Terminado</v>
      </c>
      <c r="G26" s="14" t="e">
        <f>INDEX(Bitacora!$F:$F, MATCH(E26, Bitacora!$C:$C, 0))</f>
        <v>#N/A</v>
      </c>
      <c r="H26" s="14">
        <f t="shared" ca="1" si="2"/>
        <v>46109</v>
      </c>
      <c r="I26" s="14" t="str">
        <f t="shared" si="3"/>
        <v>✅ Completado</v>
      </c>
    </row>
    <row r="27" spans="1:9" x14ac:dyDescent="0.25">
      <c r="A27" s="14">
        <f>'RAW DATA PROYECTS'!B27</f>
        <v>25</v>
      </c>
      <c r="B27" s="14" t="str">
        <f>INDEX('RAW DATA PROYECTS'!A:A, MATCH(A27, 'RAW DATA PROYECTS'!B:B, 0))</f>
        <v>Patrick</v>
      </c>
      <c r="C27" s="14"/>
      <c r="D27" s="15" cm="1">
        <f t="array" ref="D27">MIN(IF(Bitacora!$G:$G=B27, Bitacora!$B:$B))</f>
        <v>0</v>
      </c>
      <c r="E27" s="15" cm="1">
        <f t="array" ref="E27">MAX(IF(Bitacora!$G:$G=B27, Bitacora!$C:$C))</f>
        <v>0</v>
      </c>
      <c r="F27" s="14" t="str">
        <f>'RAW DATA PROYECTS'!N27</f>
        <v>Terminado</v>
      </c>
      <c r="G27" s="14" t="e">
        <f>INDEX(Bitacora!$F:$F, MATCH(E27, Bitacora!$C:$C, 0))</f>
        <v>#N/A</v>
      </c>
      <c r="H27" s="14">
        <f t="shared" ca="1" si="2"/>
        <v>46109</v>
      </c>
      <c r="I27" s="14" t="str">
        <f t="shared" si="3"/>
        <v>✅ Completado</v>
      </c>
    </row>
    <row r="28" spans="1:9" x14ac:dyDescent="0.25">
      <c r="A28" s="14">
        <f>'RAW DATA PROYECTS'!B28</f>
        <v>26</v>
      </c>
      <c r="B28" s="14" t="str">
        <f>INDEX('RAW DATA PROYECTS'!A:A, MATCH(A28, 'RAW DATA PROYECTS'!B:B, 0))</f>
        <v>Packtor</v>
      </c>
      <c r="C28" s="14"/>
      <c r="D28" s="15" cm="1">
        <f t="array" ref="D28">MIN(IF(Bitacora!$G:$G=B28, Bitacora!$B:$B))</f>
        <v>0</v>
      </c>
      <c r="E28" s="15" cm="1">
        <f t="array" ref="E28">MAX(IF(Bitacora!$G:$G=B28, Bitacora!$C:$C))</f>
        <v>0</v>
      </c>
      <c r="F28" s="14" t="str">
        <f>'RAW DATA PROYECTS'!N28</f>
        <v>Terminado</v>
      </c>
      <c r="G28" s="14" t="e">
        <f>INDEX(Bitacora!$F:$F, MATCH(E28, Bitacora!$C:$C, 0))</f>
        <v>#N/A</v>
      </c>
      <c r="H28" s="14">
        <f t="shared" ca="1" si="2"/>
        <v>46109</v>
      </c>
      <c r="I28" s="14" t="str">
        <f t="shared" si="3"/>
        <v>✅ Completado</v>
      </c>
    </row>
    <row r="29" spans="1:9" x14ac:dyDescent="0.25">
      <c r="A29" s="14">
        <f>'RAW DATA PROYECTS'!B29</f>
        <v>27</v>
      </c>
      <c r="B29" s="14" t="str">
        <f>INDEX('RAW DATA PROYECTS'!A:A, MATCH(A29, 'RAW DATA PROYECTS'!B:B, 0))</f>
        <v>Packtor</v>
      </c>
      <c r="C29" s="14"/>
      <c r="D29" s="15" cm="1">
        <f t="array" ref="D29">MIN(IF(Bitacora!$G:$G=B29, Bitacora!$B:$B))</f>
        <v>0</v>
      </c>
      <c r="E29" s="15" cm="1">
        <f t="array" ref="E29">MAX(IF(Bitacora!$G:$G=B29, Bitacora!$C:$C))</f>
        <v>0</v>
      </c>
      <c r="F29" s="14" t="str">
        <f>'RAW DATA PROYECTS'!N29</f>
        <v>Terminado</v>
      </c>
      <c r="G29" s="14" t="e">
        <f>INDEX(Bitacora!$F:$F, MATCH(E29, Bitacora!$C:$C, 0))</f>
        <v>#N/A</v>
      </c>
      <c r="H29" s="14">
        <f t="shared" ca="1" si="2"/>
        <v>46109</v>
      </c>
      <c r="I29" s="14" t="str">
        <f t="shared" si="3"/>
        <v>✅ Completado</v>
      </c>
    </row>
    <row r="30" spans="1:9" x14ac:dyDescent="0.25">
      <c r="A30" s="14">
        <f>'RAW DATA PROYECTS'!B30</f>
        <v>28</v>
      </c>
      <c r="B30" s="14" t="str">
        <f>INDEX('RAW DATA PROYECTS'!A:A, MATCH(A30, 'RAW DATA PROYECTS'!B:B, 0))</f>
        <v>Bellagio</v>
      </c>
      <c r="C30" s="14"/>
      <c r="D30" s="15" cm="1">
        <f t="array" ref="D30">MIN(IF(Bitacora!$G:$G=B30, Bitacora!$B:$B))</f>
        <v>0</v>
      </c>
      <c r="E30" s="15" cm="1">
        <f t="array" ref="E30">MAX(IF(Bitacora!$G:$G=B30, Bitacora!$C:$C))</f>
        <v>0</v>
      </c>
      <c r="F30" s="14" t="str">
        <f>'RAW DATA PROYECTS'!N30</f>
        <v>Terminado</v>
      </c>
      <c r="G30" s="14" t="e">
        <f>INDEX(Bitacora!$F:$F, MATCH(E30, Bitacora!$C:$C, 0))</f>
        <v>#N/A</v>
      </c>
      <c r="H30" s="14">
        <f t="shared" ca="1" si="2"/>
        <v>46109</v>
      </c>
      <c r="I30" s="14" t="str">
        <f t="shared" si="3"/>
        <v>✅ Completado</v>
      </c>
    </row>
    <row r="31" spans="1:9" x14ac:dyDescent="0.25">
      <c r="A31" s="14">
        <f>'RAW DATA PROYECTS'!B31</f>
        <v>29</v>
      </c>
      <c r="B31" s="14" t="str">
        <f>INDEX('RAW DATA PROYECTS'!A:A, MATCH(A31, 'RAW DATA PROYECTS'!B:B, 0))</f>
        <v>Stratigios</v>
      </c>
      <c r="C31" s="14"/>
      <c r="D31" s="15" cm="1">
        <f t="array" ref="D31">MIN(IF(Bitacora!$G:$G=B31, Bitacora!$B:$B))</f>
        <v>0</v>
      </c>
      <c r="E31" s="15" cm="1">
        <f t="array" ref="E31">MAX(IF(Bitacora!$G:$G=B31, Bitacora!$C:$C))</f>
        <v>0</v>
      </c>
      <c r="F31" s="14" t="str">
        <f>'RAW DATA PROYECTS'!N31</f>
        <v>Terminado</v>
      </c>
      <c r="G31" s="14" t="e">
        <f>INDEX(Bitacora!$F:$F, MATCH(E31, Bitacora!$C:$C, 0))</f>
        <v>#N/A</v>
      </c>
      <c r="H31" s="14">
        <f t="shared" ca="1" si="2"/>
        <v>46109</v>
      </c>
      <c r="I31" s="14" t="str">
        <f t="shared" si="3"/>
        <v>✅ Completado</v>
      </c>
    </row>
    <row r="32" spans="1:9" x14ac:dyDescent="0.25">
      <c r="A32" s="14">
        <f>'RAW DATA PROYECTS'!B32</f>
        <v>30</v>
      </c>
      <c r="B32" s="14" t="str">
        <f>INDEX('RAW DATA PROYECTS'!A:A, MATCH(A32, 'RAW DATA PROYECTS'!B:B, 0))</f>
        <v>San Francisco</v>
      </c>
      <c r="C32" s="14"/>
      <c r="D32" s="15" cm="1">
        <f t="array" ref="D32">MIN(IF(Bitacora!$G:$G=B32, Bitacora!$B:$B))</f>
        <v>0</v>
      </c>
      <c r="E32" s="15" cm="1">
        <f t="array" ref="E32">MAX(IF(Bitacora!$G:$G=B32, Bitacora!$C:$C))</f>
        <v>0</v>
      </c>
      <c r="F32" s="14" t="str">
        <f>'RAW DATA PROYECTS'!N32</f>
        <v>Terminado</v>
      </c>
      <c r="G32" s="14" t="e">
        <f>INDEX(Bitacora!$F:$F, MATCH(E32, Bitacora!$C:$C, 0))</f>
        <v>#N/A</v>
      </c>
      <c r="H32" s="14">
        <f t="shared" ca="1" si="2"/>
        <v>46109</v>
      </c>
      <c r="I32" s="14" t="str">
        <f t="shared" si="3"/>
        <v>✅ Completado</v>
      </c>
    </row>
    <row r="33" spans="1:9" x14ac:dyDescent="0.25">
      <c r="A33" s="14">
        <f>'RAW DATA PROYECTS'!B33</f>
        <v>31</v>
      </c>
      <c r="B33" s="14" t="str">
        <f>INDEX('RAW DATA PROYECTS'!A:A, MATCH(A33, 'RAW DATA PROYECTS'!B:B, 0))</f>
        <v>San Francisco</v>
      </c>
      <c r="C33" s="14"/>
      <c r="D33" s="15" cm="1">
        <f t="array" ref="D33">MIN(IF(Bitacora!$G:$G=B33, Bitacora!$B:$B))</f>
        <v>0</v>
      </c>
      <c r="E33" s="15" cm="1">
        <f t="array" ref="E33">MAX(IF(Bitacora!$G:$G=B33, Bitacora!$C:$C))</f>
        <v>0</v>
      </c>
      <c r="F33" s="14" t="str">
        <f>'RAW DATA PROYECTS'!N33</f>
        <v>Terminado</v>
      </c>
      <c r="G33" s="14" t="e">
        <f>INDEX(Bitacora!$F:$F, MATCH(E33, Bitacora!$C:$C, 0))</f>
        <v>#N/A</v>
      </c>
      <c r="H33" s="14">
        <f t="shared" ca="1" si="2"/>
        <v>46109</v>
      </c>
      <c r="I33" s="14" t="str">
        <f t="shared" si="3"/>
        <v>✅ Completado</v>
      </c>
    </row>
    <row r="34" spans="1:9" x14ac:dyDescent="0.25">
      <c r="A34" s="14">
        <f>'RAW DATA PROYECTS'!B34</f>
        <v>32</v>
      </c>
      <c r="B34" s="14" t="str">
        <f>INDEX('RAW DATA PROYECTS'!A:A, MATCH(A34, 'RAW DATA PROYECTS'!B:B, 0))</f>
        <v>Shaw</v>
      </c>
      <c r="C34" s="14"/>
      <c r="D34" s="15" cm="1">
        <f t="array" ref="D34">MIN(IF(Bitacora!$G:$G=B34, Bitacora!$B:$B))</f>
        <v>0</v>
      </c>
      <c r="E34" s="15" cm="1">
        <f t="array" ref="E34">MAX(IF(Bitacora!$G:$G=B34, Bitacora!$C:$C))</f>
        <v>0</v>
      </c>
      <c r="F34" s="14" t="str">
        <f>'RAW DATA PROYECTS'!N34</f>
        <v>Terminado</v>
      </c>
      <c r="G34" s="14" t="e">
        <f>INDEX(Bitacora!$F:$F, MATCH(E34, Bitacora!$C:$C, 0))</f>
        <v>#N/A</v>
      </c>
      <c r="H34" s="14">
        <f t="shared" ca="1" si="2"/>
        <v>46109</v>
      </c>
      <c r="I34" s="14" t="str">
        <f t="shared" si="3"/>
        <v>✅ Completado</v>
      </c>
    </row>
    <row r="35" spans="1:9" x14ac:dyDescent="0.25">
      <c r="A35" s="14">
        <f>'RAW DATA PROYECTS'!B35</f>
        <v>33</v>
      </c>
      <c r="B35" s="14" t="str">
        <f>INDEX('RAW DATA PROYECTS'!A:A, MATCH(A35, 'RAW DATA PROYECTS'!B:B, 0))</f>
        <v>Jura</v>
      </c>
      <c r="C35" s="14"/>
      <c r="D35" s="15" cm="1">
        <f t="array" ref="D35">MIN(IF(Bitacora!$G:$G=B35, Bitacora!$B:$B))</f>
        <v>0</v>
      </c>
      <c r="E35" s="15" cm="1">
        <f t="array" ref="E35">MAX(IF(Bitacora!$G:$G=B35, Bitacora!$C:$C))</f>
        <v>0</v>
      </c>
      <c r="F35" s="14" t="str">
        <f>'RAW DATA PROYECTS'!N35</f>
        <v>Terminado</v>
      </c>
      <c r="G35" s="14" t="e">
        <f>INDEX(Bitacora!$F:$F, MATCH(E35, Bitacora!$C:$C, 0))</f>
        <v>#N/A</v>
      </c>
      <c r="H35" s="14">
        <f t="shared" ca="1" si="2"/>
        <v>46109</v>
      </c>
      <c r="I35" s="14" t="str">
        <f t="shared" si="3"/>
        <v>✅ Completado</v>
      </c>
    </row>
    <row r="36" spans="1:9" x14ac:dyDescent="0.25">
      <c r="A36" s="14">
        <f>'RAW DATA PROYECTS'!B36</f>
        <v>34</v>
      </c>
      <c r="B36" s="14" t="str">
        <f>INDEX('RAW DATA PROYECTS'!A:A, MATCH(A36, 'RAW DATA PROYECTS'!B:B, 0))</f>
        <v>Jura</v>
      </c>
      <c r="C36" s="14"/>
      <c r="D36" s="15" cm="1">
        <f t="array" ref="D36">MIN(IF(Bitacora!$G:$G=B36, Bitacora!$B:$B))</f>
        <v>0</v>
      </c>
      <c r="E36" s="15" cm="1">
        <f t="array" ref="E36">MAX(IF(Bitacora!$G:$G=B36, Bitacora!$C:$C))</f>
        <v>0</v>
      </c>
      <c r="F36" s="14" t="str">
        <f>'RAW DATA PROYECTS'!N36</f>
        <v>Terminado</v>
      </c>
      <c r="G36" s="14" t="e">
        <f>INDEX(Bitacora!$F:$F, MATCH(E36, Bitacora!$C:$C, 0))</f>
        <v>#N/A</v>
      </c>
      <c r="H36" s="14">
        <f t="shared" ca="1" si="2"/>
        <v>46109</v>
      </c>
      <c r="I36" s="14" t="str">
        <f t="shared" si="3"/>
        <v>✅ Completado</v>
      </c>
    </row>
    <row r="37" spans="1:9" x14ac:dyDescent="0.25">
      <c r="A37" s="14">
        <f>'RAW DATA PROYECTS'!B37</f>
        <v>35</v>
      </c>
      <c r="B37" s="14" t="str">
        <f>INDEX('RAW DATA PROYECTS'!A:A, MATCH(A37, 'RAW DATA PROYECTS'!B:B, 0))</f>
        <v>Emtage</v>
      </c>
      <c r="C37" s="14"/>
      <c r="D37" s="15" cm="1">
        <f t="array" ref="D37">MIN(IF(Bitacora!$G:$G=B37, Bitacora!$B:$B))</f>
        <v>0</v>
      </c>
      <c r="E37" s="15" cm="1">
        <f t="array" ref="E37">MAX(IF(Bitacora!$G:$G=B37, Bitacora!$C:$C))</f>
        <v>0</v>
      </c>
      <c r="F37" s="14" t="str">
        <f>'RAW DATA PROYECTS'!N37</f>
        <v>Terminado</v>
      </c>
      <c r="G37" s="14" t="e">
        <f>INDEX(Bitacora!$F:$F, MATCH(E37, Bitacora!$C:$C, 0))</f>
        <v>#N/A</v>
      </c>
      <c r="H37" s="14">
        <f t="shared" ca="1" si="2"/>
        <v>46109</v>
      </c>
      <c r="I37" s="14" t="str">
        <f t="shared" si="3"/>
        <v>✅ Completado</v>
      </c>
    </row>
    <row r="38" spans="1:9" x14ac:dyDescent="0.25">
      <c r="A38" s="14">
        <f>'RAW DATA PROYECTS'!B38</f>
        <v>36</v>
      </c>
      <c r="B38" s="14" t="str">
        <f>INDEX('RAW DATA PROYECTS'!A:A, MATCH(A38, 'RAW DATA PROYECTS'!B:B, 0))</f>
        <v>Belesis</v>
      </c>
      <c r="C38" s="14"/>
      <c r="D38" s="15" cm="1">
        <f t="array" ref="D38">MIN(IF(Bitacora!$G:$G=B38, Bitacora!$B:$B))</f>
        <v>0</v>
      </c>
      <c r="E38" s="15" cm="1">
        <f t="array" ref="E38">MAX(IF(Bitacora!$G:$G=B38, Bitacora!$C:$C))</f>
        <v>0</v>
      </c>
      <c r="F38" s="14" t="str">
        <f>'RAW DATA PROYECTS'!N38</f>
        <v>Terminado</v>
      </c>
      <c r="G38" s="14" t="e">
        <f>INDEX(Bitacora!$F:$F, MATCH(E38, Bitacora!$C:$C, 0))</f>
        <v>#N/A</v>
      </c>
      <c r="H38" s="14">
        <f t="shared" ca="1" si="2"/>
        <v>46109</v>
      </c>
      <c r="I38" s="14" t="str">
        <f t="shared" si="3"/>
        <v>✅ Completado</v>
      </c>
    </row>
    <row r="39" spans="1:9" x14ac:dyDescent="0.25">
      <c r="A39" s="14">
        <f>'RAW DATA PROYECTS'!B39</f>
        <v>37</v>
      </c>
      <c r="B39" s="14" t="str">
        <f>INDEX('RAW DATA PROYECTS'!A:A, MATCH(A39, 'RAW DATA PROYECTS'!B:B, 0))</f>
        <v>Jura</v>
      </c>
      <c r="C39" s="14"/>
      <c r="D39" s="15" cm="1">
        <f t="array" ref="D39">MIN(IF(Bitacora!$G:$G=B39, Bitacora!$B:$B))</f>
        <v>0</v>
      </c>
      <c r="E39" s="15" cm="1">
        <f t="array" ref="E39">MAX(IF(Bitacora!$G:$G=B39, Bitacora!$C:$C))</f>
        <v>0</v>
      </c>
      <c r="F39" s="14" t="str">
        <f>'RAW DATA PROYECTS'!N39</f>
        <v>Terminado</v>
      </c>
      <c r="G39" s="14" t="e">
        <f>INDEX(Bitacora!$F:$F, MATCH(E39, Bitacora!$C:$C, 0))</f>
        <v>#N/A</v>
      </c>
      <c r="H39" s="14">
        <f t="shared" ca="1" si="2"/>
        <v>46109</v>
      </c>
      <c r="I39" s="14" t="str">
        <f t="shared" si="3"/>
        <v>✅ Completado</v>
      </c>
    </row>
    <row r="40" spans="1:9" x14ac:dyDescent="0.25">
      <c r="A40" s="14">
        <f>'RAW DATA PROYECTS'!B40</f>
        <v>38</v>
      </c>
      <c r="B40" s="14" t="str">
        <f>INDEX('RAW DATA PROYECTS'!A:A, MATCH(A40, 'RAW DATA PROYECTS'!B:B, 0))</f>
        <v>Maihorana</v>
      </c>
      <c r="C40" s="14"/>
      <c r="D40" s="15" cm="1">
        <f t="array" ref="D40">MIN(IF(Bitacora!$G:$G=B40, Bitacora!$B:$B))</f>
        <v>0</v>
      </c>
      <c r="E40" s="15" cm="1">
        <f t="array" ref="E40">MAX(IF(Bitacora!$G:$G=B40, Bitacora!$C:$C))</f>
        <v>0</v>
      </c>
      <c r="F40" s="14" t="str">
        <f>'RAW DATA PROYECTS'!N40</f>
        <v>Terminado</v>
      </c>
      <c r="G40" s="14" t="e">
        <f>INDEX(Bitacora!$F:$F, MATCH(E40, Bitacora!$C:$C, 0))</f>
        <v>#N/A</v>
      </c>
      <c r="H40" s="14">
        <f t="shared" ca="1" si="2"/>
        <v>46109</v>
      </c>
      <c r="I40" s="14" t="str">
        <f t="shared" si="3"/>
        <v>✅ Completado</v>
      </c>
    </row>
    <row r="41" spans="1:9" x14ac:dyDescent="0.25">
      <c r="A41" s="14">
        <f>'RAW DATA PROYECTS'!B41</f>
        <v>39</v>
      </c>
      <c r="B41" s="14" t="str">
        <f>INDEX('RAW DATA PROYECTS'!A:A, MATCH(A41, 'RAW DATA PROYECTS'!B:B, 0))</f>
        <v>Braker</v>
      </c>
      <c r="C41" s="14"/>
      <c r="D41" s="15" cm="1">
        <f t="array" ref="D41">MIN(IF(Bitacora!$G:$G=B41, Bitacora!$B:$B))</f>
        <v>46057</v>
      </c>
      <c r="E41" s="15" cm="1">
        <f t="array" ref="E41">MAX(IF(Bitacora!$G:$G=B41, Bitacora!$C:$C))</f>
        <v>46076</v>
      </c>
      <c r="F41" s="14" t="str">
        <f>'RAW DATA PROYECTS'!N41</f>
        <v>Terminado</v>
      </c>
      <c r="G41" s="14" t="str">
        <f>INDEX(Bitacora!$F:$F, MATCH(E41, Bitacora!$C:$C, 0))</f>
        <v>Gabinetes</v>
      </c>
      <c r="H41" s="14">
        <f t="shared" ca="1" si="2"/>
        <v>33</v>
      </c>
      <c r="I41" s="14" t="str">
        <f t="shared" si="3"/>
        <v>✅ Completado</v>
      </c>
    </row>
    <row r="42" spans="1:9" x14ac:dyDescent="0.25">
      <c r="A42" s="14">
        <f>'RAW DATA PROYECTS'!B42</f>
        <v>40</v>
      </c>
      <c r="B42" s="14" t="str">
        <f>INDEX('RAW DATA PROYECTS'!A:A, MATCH(A42, 'RAW DATA PROYECTS'!B:B, 0))</f>
        <v>Braker</v>
      </c>
      <c r="C42" s="14"/>
      <c r="D42" s="15" cm="1">
        <f t="array" ref="D42">MIN(IF(Bitacora!$G:$G=B42, Bitacora!$B:$B))</f>
        <v>46057</v>
      </c>
      <c r="E42" s="15" cm="1">
        <f t="array" ref="E42">MAX(IF(Bitacora!$G:$G=B42, Bitacora!$C:$C))</f>
        <v>46076</v>
      </c>
      <c r="F42" s="14" t="str">
        <f>'RAW DATA PROYECTS'!N42</f>
        <v>Terminado</v>
      </c>
      <c r="G42" s="14" t="str">
        <f>INDEX(Bitacora!$F:$F, MATCH(E42, Bitacora!$C:$C, 0))</f>
        <v>Gabinetes</v>
      </c>
      <c r="H42" s="14">
        <f t="shared" ca="1" si="2"/>
        <v>33</v>
      </c>
      <c r="I42" s="14" t="str">
        <f t="shared" si="3"/>
        <v>✅ Completado</v>
      </c>
    </row>
    <row r="43" spans="1:9" x14ac:dyDescent="0.25">
      <c r="A43" s="14">
        <f>'RAW DATA PROYECTS'!B43</f>
        <v>41</v>
      </c>
      <c r="B43" s="14" t="str">
        <f>INDEX('RAW DATA PROYECTS'!A:A, MATCH(A43, 'RAW DATA PROYECTS'!B:B, 0))</f>
        <v>Braker</v>
      </c>
      <c r="C43" s="14"/>
      <c r="D43" s="15" cm="1">
        <f t="array" ref="D43">MIN(IF(Bitacora!$G:$G=B43, Bitacora!$B:$B))</f>
        <v>46057</v>
      </c>
      <c r="E43" s="15" cm="1">
        <f t="array" ref="E43">MAX(IF(Bitacora!$G:$G=B43, Bitacora!$C:$C))</f>
        <v>46076</v>
      </c>
      <c r="F43" s="14" t="str">
        <f>'RAW DATA PROYECTS'!N43</f>
        <v>Terminado</v>
      </c>
      <c r="G43" s="14" t="str">
        <f>INDEX(Bitacora!$F:$F, MATCH(E43, Bitacora!$C:$C, 0))</f>
        <v>Gabinetes</v>
      </c>
      <c r="H43" s="14">
        <f t="shared" ca="1" si="2"/>
        <v>33</v>
      </c>
      <c r="I43" s="14" t="str">
        <f t="shared" si="3"/>
        <v>✅ Completado</v>
      </c>
    </row>
    <row r="44" spans="1:9" x14ac:dyDescent="0.25">
      <c r="A44" s="14">
        <f>'RAW DATA PROYECTS'!B44</f>
        <v>42</v>
      </c>
      <c r="B44" s="14" t="str">
        <f>INDEX('RAW DATA PROYECTS'!A:A, MATCH(A44, 'RAW DATA PROYECTS'!B:B, 0))</f>
        <v>Braker</v>
      </c>
      <c r="C44" s="14"/>
      <c r="D44" s="15" cm="1">
        <f t="array" ref="D44">MIN(IF(Bitacora!$G:$G=B44, Bitacora!$B:$B))</f>
        <v>46057</v>
      </c>
      <c r="E44" s="15" cm="1">
        <f t="array" ref="E44">MAX(IF(Bitacora!$G:$G=B44, Bitacora!$C:$C))</f>
        <v>46076</v>
      </c>
      <c r="F44" s="14" t="str">
        <f>'RAW DATA PROYECTS'!N44</f>
        <v>Terminado</v>
      </c>
      <c r="G44" s="14" t="str">
        <f>INDEX(Bitacora!$F:$F, MATCH(E44, Bitacora!$C:$C, 0))</f>
        <v>Gabinetes</v>
      </c>
      <c r="H44" s="14">
        <f t="shared" ca="1" si="2"/>
        <v>33</v>
      </c>
      <c r="I44" s="14" t="str">
        <f t="shared" si="3"/>
        <v>✅ Completado</v>
      </c>
    </row>
    <row r="45" spans="1:9" x14ac:dyDescent="0.25">
      <c r="A45" s="14">
        <f>'RAW DATA PROYECTS'!B45</f>
        <v>43</v>
      </c>
      <c r="B45" s="14" t="str">
        <f>INDEX('RAW DATA PROYECTS'!A:A, MATCH(A45, 'RAW DATA PROYECTS'!B:B, 0))</f>
        <v>Braker</v>
      </c>
      <c r="C45" s="14"/>
      <c r="D45" s="15" cm="1">
        <f t="array" ref="D45">MIN(IF(Bitacora!$G:$G=B45, Bitacora!$B:$B))</f>
        <v>46057</v>
      </c>
      <c r="E45" s="15" cm="1">
        <f t="array" ref="E45">MAX(IF(Bitacora!$G:$G=B45, Bitacora!$C:$C))</f>
        <v>46076</v>
      </c>
      <c r="F45" s="14" t="str">
        <f>'RAW DATA PROYECTS'!N45</f>
        <v>Terminado</v>
      </c>
      <c r="G45" s="14" t="str">
        <f>INDEX(Bitacora!$F:$F, MATCH(E45, Bitacora!$C:$C, 0))</f>
        <v>Gabinetes</v>
      </c>
      <c r="H45" s="14">
        <f t="shared" ca="1" si="2"/>
        <v>33</v>
      </c>
      <c r="I45" s="14" t="str">
        <f t="shared" si="3"/>
        <v>✅ Completado</v>
      </c>
    </row>
    <row r="46" spans="1:9" x14ac:dyDescent="0.25">
      <c r="A46" s="14">
        <f>'RAW DATA PROYECTS'!B46</f>
        <v>44</v>
      </c>
      <c r="B46" s="14" t="str">
        <f>INDEX('RAW DATA PROYECTS'!A:A, MATCH(A46, 'RAW DATA PROYECTS'!B:B, 0))</f>
        <v>Burton</v>
      </c>
      <c r="C46" s="14"/>
      <c r="D46" s="15" cm="1">
        <f t="array" ref="D46">MIN(IF(Bitacora!$G:$G=B46, Bitacora!$B:$B))</f>
        <v>0</v>
      </c>
      <c r="E46" s="15" cm="1">
        <f t="array" ref="E46">MAX(IF(Bitacora!$G:$G=B46, Bitacora!$C:$C))</f>
        <v>0</v>
      </c>
      <c r="F46" s="14" t="str">
        <f>'RAW DATA PROYECTS'!N46</f>
        <v>Terminado</v>
      </c>
      <c r="G46" s="14" t="e">
        <f>INDEX(Bitacora!$F:$F, MATCH(E46, Bitacora!$C:$C, 0))</f>
        <v>#N/A</v>
      </c>
      <c r="H46" s="14">
        <f t="shared" ca="1" si="2"/>
        <v>46109</v>
      </c>
      <c r="I46" s="14" t="str">
        <f t="shared" si="3"/>
        <v>✅ Completado</v>
      </c>
    </row>
    <row r="47" spans="1:9" x14ac:dyDescent="0.25">
      <c r="A47" s="14">
        <f>'RAW DATA PROYECTS'!B47</f>
        <v>45</v>
      </c>
      <c r="B47" s="14" t="str">
        <f>INDEX('RAW DATA PROYECTS'!A:A, MATCH(A47, 'RAW DATA PROYECTS'!B:B, 0))</f>
        <v>Belesis</v>
      </c>
      <c r="C47" s="14"/>
      <c r="D47" s="15" cm="1">
        <f t="array" ref="D47">MIN(IF(Bitacora!$G:$G=B47, Bitacora!$B:$B))</f>
        <v>0</v>
      </c>
      <c r="E47" s="15" cm="1">
        <f t="array" ref="E47">MAX(IF(Bitacora!$G:$G=B47, Bitacora!$C:$C))</f>
        <v>0</v>
      </c>
      <c r="F47" s="14" t="str">
        <f>'RAW DATA PROYECTS'!N47</f>
        <v>Terminado</v>
      </c>
      <c r="G47" s="14" t="e">
        <f>INDEX(Bitacora!$F:$F, MATCH(E47, Bitacora!$C:$C, 0))</f>
        <v>#N/A</v>
      </c>
      <c r="H47" s="14">
        <f t="shared" ca="1" si="2"/>
        <v>46109</v>
      </c>
      <c r="I47" s="14" t="str">
        <f t="shared" si="3"/>
        <v>✅ Completado</v>
      </c>
    </row>
    <row r="48" spans="1:9" x14ac:dyDescent="0.25">
      <c r="A48" s="14">
        <f>'RAW DATA PROYECTS'!B48</f>
        <v>46</v>
      </c>
      <c r="B48" s="14" t="str">
        <f>INDEX('RAW DATA PROYECTS'!A:A, MATCH(A48, 'RAW DATA PROYECTS'!B:B, 0))</f>
        <v>Juan Farias</v>
      </c>
      <c r="C48" s="14"/>
      <c r="D48" s="15" cm="1">
        <f t="array" ref="D48">MIN(IF(Bitacora!$G:$G=B48, Bitacora!$B:$B))</f>
        <v>0</v>
      </c>
      <c r="E48" s="15" cm="1">
        <f t="array" ref="E48">MAX(IF(Bitacora!$G:$G=B48, Bitacora!$C:$C))</f>
        <v>0</v>
      </c>
      <c r="F48" s="14" t="str">
        <f>'RAW DATA PROYECTS'!N48</f>
        <v>Terminado</v>
      </c>
      <c r="G48" s="14" t="e">
        <f>INDEX(Bitacora!$F:$F, MATCH(E48, Bitacora!$C:$C, 0))</f>
        <v>#N/A</v>
      </c>
      <c r="H48" s="14">
        <f t="shared" ca="1" si="2"/>
        <v>46109</v>
      </c>
      <c r="I48" s="14" t="str">
        <f t="shared" si="3"/>
        <v>✅ Completado</v>
      </c>
    </row>
    <row r="49" spans="1:9" x14ac:dyDescent="0.25">
      <c r="A49" s="14">
        <f>'RAW DATA PROYECTS'!B49</f>
        <v>47</v>
      </c>
      <c r="B49" s="14" t="str">
        <f>INDEX('RAW DATA PROYECTS'!A:A, MATCH(A49, 'RAW DATA PROYECTS'!B:B, 0))</f>
        <v>BlackWell</v>
      </c>
      <c r="C49" s="14"/>
      <c r="D49" s="15" cm="1">
        <f t="array" ref="D49">MIN(IF(Bitacora!$G:$G=B49, Bitacora!$B:$B))</f>
        <v>46066</v>
      </c>
      <c r="E49" s="15" cm="1">
        <f t="array" ref="E49">MAX(IF(Bitacora!$G:$G=B49, Bitacora!$C:$C))</f>
        <v>46076</v>
      </c>
      <c r="F49" s="14" t="str">
        <f>'RAW DATA PROYECTS'!N49</f>
        <v>Terminado</v>
      </c>
      <c r="G49" s="14" t="str">
        <f>INDEX(Bitacora!$F:$F, MATCH(E49, Bitacora!$C:$C, 0))</f>
        <v>Gabinetes</v>
      </c>
      <c r="H49" s="14">
        <f t="shared" ca="1" si="2"/>
        <v>33</v>
      </c>
      <c r="I49" s="14" t="str">
        <f t="shared" si="3"/>
        <v>✅ Completado</v>
      </c>
    </row>
    <row r="50" spans="1:9" x14ac:dyDescent="0.25">
      <c r="A50" s="14">
        <f>'RAW DATA PROYECTS'!B50</f>
        <v>48</v>
      </c>
      <c r="B50" s="14" t="str">
        <f>INDEX('RAW DATA PROYECTS'!A:A, MATCH(A50, 'RAW DATA PROYECTS'!B:B, 0))</f>
        <v>BlackWell</v>
      </c>
      <c r="C50" s="14"/>
      <c r="D50" s="15" cm="1">
        <f t="array" ref="D50">MIN(IF(Bitacora!$G:$G=B50, Bitacora!$B:$B))</f>
        <v>46066</v>
      </c>
      <c r="E50" s="15" cm="1">
        <f t="array" ref="E50">MAX(IF(Bitacora!$G:$G=B50, Bitacora!$C:$C))</f>
        <v>46076</v>
      </c>
      <c r="F50" s="14" t="str">
        <f>'RAW DATA PROYECTS'!N50</f>
        <v>Terminado</v>
      </c>
      <c r="G50" s="14" t="str">
        <f>INDEX(Bitacora!$F:$F, MATCH(E50, Bitacora!$C:$C, 0))</f>
        <v>Gabinetes</v>
      </c>
      <c r="H50" s="14">
        <f t="shared" ca="1" si="2"/>
        <v>33</v>
      </c>
      <c r="I50" s="14" t="str">
        <f t="shared" si="3"/>
        <v>✅ Completado</v>
      </c>
    </row>
    <row r="51" spans="1:9" x14ac:dyDescent="0.25">
      <c r="A51" s="14">
        <f>'RAW DATA PROYECTS'!B51</f>
        <v>49</v>
      </c>
      <c r="B51" s="14" t="str">
        <f>INDEX('RAW DATA PROYECTS'!A:A, MATCH(A51, 'RAW DATA PROYECTS'!B:B, 0))</f>
        <v xml:space="preserve">Via Romero </v>
      </c>
      <c r="C51" s="14"/>
      <c r="D51" s="15" cm="1">
        <f t="array" ref="D51">MIN(IF(Bitacora!$G:$G=B51, Bitacora!$B:$B))</f>
        <v>0</v>
      </c>
      <c r="E51" s="15" cm="1">
        <f t="array" ref="E51">MAX(IF(Bitacora!$G:$G=B51, Bitacora!$C:$C))</f>
        <v>0</v>
      </c>
      <c r="F51" s="14" t="str">
        <f>'RAW DATA PROYECTS'!N51</f>
        <v>Terminado</v>
      </c>
      <c r="G51" s="14" t="e">
        <f>INDEX(Bitacora!$F:$F, MATCH(E51, Bitacora!$C:$C, 0))</f>
        <v>#N/A</v>
      </c>
      <c r="H51" s="14">
        <f t="shared" ca="1" si="2"/>
        <v>46109</v>
      </c>
      <c r="I51" s="14" t="str">
        <f t="shared" si="3"/>
        <v>✅ Completado</v>
      </c>
    </row>
    <row r="52" spans="1:9" x14ac:dyDescent="0.25">
      <c r="A52" s="14">
        <f>'RAW DATA PROYECTS'!B52</f>
        <v>50</v>
      </c>
      <c r="B52" s="14" t="str">
        <f>INDEX('RAW DATA PROYECTS'!A:A, MATCH(A52, 'RAW DATA PROYECTS'!B:B, 0))</f>
        <v>Aravind</v>
      </c>
      <c r="C52" s="14"/>
      <c r="D52" s="15" cm="1">
        <f t="array" ref="D52">MIN(IF(Bitacora!$G:$G=B52, Bitacora!$B:$B))</f>
        <v>46066</v>
      </c>
      <c r="E52" s="15" cm="1">
        <f t="array" ref="E52">MAX(IF(Bitacora!$G:$G=B52, Bitacora!$C:$C))</f>
        <v>46066</v>
      </c>
      <c r="F52" s="14" t="str">
        <f>'RAW DATA PROYECTS'!N52</f>
        <v>Terminado</v>
      </c>
      <c r="G52" s="14" t="str">
        <f>INDEX(Bitacora!$F:$F, MATCH(E52, Bitacora!$C:$C, 0))</f>
        <v>Gabinetes</v>
      </c>
      <c r="H52" s="14">
        <f t="shared" ca="1" si="2"/>
        <v>43</v>
      </c>
      <c r="I52" s="14" t="str">
        <f t="shared" si="3"/>
        <v>✅ Completado</v>
      </c>
    </row>
    <row r="53" spans="1:9" x14ac:dyDescent="0.25">
      <c r="A53" s="14">
        <f>'RAW DATA PROYECTS'!B53</f>
        <v>51</v>
      </c>
      <c r="B53" s="14" t="str">
        <f>INDEX('RAW DATA PROYECTS'!A:A, MATCH(A53, 'RAW DATA PROYECTS'!B:B, 0))</f>
        <v>Aravind</v>
      </c>
      <c r="C53" s="14"/>
      <c r="D53" s="15" cm="1">
        <f t="array" ref="D53">MIN(IF(Bitacora!$G:$G=B53, Bitacora!$B:$B))</f>
        <v>46066</v>
      </c>
      <c r="E53" s="15" cm="1">
        <f t="array" ref="E53">MAX(IF(Bitacora!$G:$G=B53, Bitacora!$C:$C))</f>
        <v>46066</v>
      </c>
      <c r="F53" s="14" t="str">
        <f>'RAW DATA PROYECTS'!N53</f>
        <v>Terminado</v>
      </c>
      <c r="G53" s="14" t="str">
        <f>INDEX(Bitacora!$F:$F, MATCH(E53, Bitacora!$C:$C, 0))</f>
        <v>Gabinetes</v>
      </c>
      <c r="H53" s="14">
        <f t="shared" ca="1" si="2"/>
        <v>43</v>
      </c>
      <c r="I53" s="14" t="str">
        <f t="shared" si="3"/>
        <v>✅ Completado</v>
      </c>
    </row>
    <row r="54" spans="1:9" x14ac:dyDescent="0.25">
      <c r="A54" s="14">
        <f>'RAW DATA PROYECTS'!B54</f>
        <v>52</v>
      </c>
      <c r="B54" s="14" t="str">
        <f>INDEX('RAW DATA PROYECTS'!A:A, MATCH(A54, 'RAW DATA PROYECTS'!B:B, 0))</f>
        <v>Eucalyptus</v>
      </c>
      <c r="C54" s="14"/>
      <c r="D54" s="15" cm="1">
        <f t="array" ref="D54">MIN(IF(Bitacora!$G:$G=B54, Bitacora!$B:$B))</f>
        <v>46069</v>
      </c>
      <c r="E54" s="15" cm="1">
        <f t="array" ref="E54">MAX(IF(Bitacora!$G:$G=B54, Bitacora!$C:$C))</f>
        <v>46077</v>
      </c>
      <c r="F54" s="14" t="str">
        <f>'RAW DATA PROYECTS'!N54</f>
        <v>Terminado</v>
      </c>
      <c r="G54" s="14" t="str">
        <f>INDEX(Bitacora!$F:$F, MATCH(E54, Bitacora!$C:$C, 0))</f>
        <v>Correccion</v>
      </c>
      <c r="H54" s="14">
        <f t="shared" ca="1" si="2"/>
        <v>32</v>
      </c>
      <c r="I54" s="14" t="str">
        <f t="shared" si="3"/>
        <v>✅ Completado</v>
      </c>
    </row>
    <row r="55" spans="1:9" x14ac:dyDescent="0.25">
      <c r="A55" s="14">
        <f>'RAW DATA PROYECTS'!B55</f>
        <v>53</v>
      </c>
      <c r="B55" s="14" t="str">
        <f>INDEX('RAW DATA PROYECTS'!A:A, MATCH(A55, 'RAW DATA PROYECTS'!B:B, 0))</f>
        <v>Liane</v>
      </c>
      <c r="C55" s="14"/>
      <c r="D55" s="15" cm="1">
        <f t="array" ref="D55">MIN(IF(Bitacora!$G:$G=B55, Bitacora!$B:$B))</f>
        <v>0</v>
      </c>
      <c r="E55" s="15" cm="1">
        <f t="array" ref="E55">MAX(IF(Bitacora!$G:$G=B55, Bitacora!$C:$C))</f>
        <v>0</v>
      </c>
      <c r="F55" s="14" t="str">
        <f>'RAW DATA PROYECTS'!N55</f>
        <v>Terminado</v>
      </c>
      <c r="G55" s="14" t="e">
        <f>INDEX(Bitacora!$F:$F, MATCH(E55, Bitacora!$C:$C, 0))</f>
        <v>#N/A</v>
      </c>
      <c r="H55" s="14">
        <f t="shared" ca="1" si="2"/>
        <v>46109</v>
      </c>
      <c r="I55" s="14" t="str">
        <f t="shared" si="3"/>
        <v>✅ Completado</v>
      </c>
    </row>
    <row r="56" spans="1:9" x14ac:dyDescent="0.25">
      <c r="A56" s="14">
        <f>'RAW DATA PROYECTS'!B56</f>
        <v>54</v>
      </c>
      <c r="B56" s="14" t="str">
        <f>INDEX('RAW DATA PROYECTS'!A:A, MATCH(A56, 'RAW DATA PROYECTS'!B:B, 0))</f>
        <v>Liane</v>
      </c>
      <c r="C56" s="14"/>
      <c r="D56" s="15" cm="1">
        <f t="array" ref="D56">MIN(IF(Bitacora!$G:$G=B56, Bitacora!$B:$B))</f>
        <v>0</v>
      </c>
      <c r="E56" s="15" cm="1">
        <f t="array" ref="E56">MAX(IF(Bitacora!$G:$G=B56, Bitacora!$C:$C))</f>
        <v>0</v>
      </c>
      <c r="F56" s="14" t="str">
        <f>'RAW DATA PROYECTS'!N56</f>
        <v>Terminado</v>
      </c>
      <c r="G56" s="14" t="e">
        <f>INDEX(Bitacora!$F:$F, MATCH(E56, Bitacora!$C:$C, 0))</f>
        <v>#N/A</v>
      </c>
      <c r="H56" s="14">
        <f t="shared" ca="1" si="2"/>
        <v>46109</v>
      </c>
      <c r="I56" s="14" t="str">
        <f t="shared" si="3"/>
        <v>✅ Completado</v>
      </c>
    </row>
    <row r="57" spans="1:9" x14ac:dyDescent="0.25">
      <c r="A57" s="14">
        <f>'RAW DATA PROYECTS'!B57</f>
        <v>55</v>
      </c>
      <c r="B57" s="14" t="str">
        <f>INDEX('RAW DATA PROYECTS'!A:A, MATCH(A57, 'RAW DATA PROYECTS'!B:B, 0))</f>
        <v>Harrison</v>
      </c>
      <c r="C57" s="14"/>
      <c r="D57" s="15" cm="1">
        <f t="array" ref="D57">MIN(IF(Bitacora!$G:$G=B57, Bitacora!$B:$B))</f>
        <v>46056</v>
      </c>
      <c r="E57" s="15" cm="1">
        <f t="array" ref="E57">MAX(IF(Bitacora!$G:$G=B57, Bitacora!$C:$C))</f>
        <v>46077</v>
      </c>
      <c r="F57" s="14" t="str">
        <f>'RAW DATA PROYECTS'!N57</f>
        <v>Terminado</v>
      </c>
      <c r="G57" s="14" t="str">
        <f>INDEX(Bitacora!$F:$F, MATCH(E57, Bitacora!$C:$C, 0))</f>
        <v>Correccion</v>
      </c>
      <c r="H57" s="14">
        <f t="shared" ca="1" si="2"/>
        <v>32</v>
      </c>
      <c r="I57" s="14" t="str">
        <f t="shared" si="3"/>
        <v>✅ Completado</v>
      </c>
    </row>
    <row r="58" spans="1:9" x14ac:dyDescent="0.25">
      <c r="A58" s="14">
        <f>'RAW DATA PROYECTS'!B58</f>
        <v>56</v>
      </c>
      <c r="B58" s="14" t="str">
        <f>INDEX('RAW DATA PROYECTS'!A:A, MATCH(A58, 'RAW DATA PROYECTS'!B:B, 0))</f>
        <v>Braker</v>
      </c>
      <c r="C58" s="14"/>
      <c r="D58" s="15" cm="1">
        <f t="array" ref="D58">MIN(IF(Bitacora!$G:$G=B58, Bitacora!$B:$B))</f>
        <v>46057</v>
      </c>
      <c r="E58" s="15" cm="1">
        <f t="array" ref="E58">MAX(IF(Bitacora!$G:$G=B58, Bitacora!$C:$C))</f>
        <v>46076</v>
      </c>
      <c r="F58" s="14" t="str">
        <f>'RAW DATA PROYECTS'!N58</f>
        <v>Terminado</v>
      </c>
      <c r="G58" s="14" t="str">
        <f>INDEX(Bitacora!$F:$F, MATCH(E58, Bitacora!$C:$C, 0))</f>
        <v>Gabinetes</v>
      </c>
      <c r="H58" s="14">
        <f t="shared" ca="1" si="2"/>
        <v>33</v>
      </c>
      <c r="I58" s="14" t="str">
        <f t="shared" si="3"/>
        <v>✅ Completado</v>
      </c>
    </row>
    <row r="59" spans="1:9" x14ac:dyDescent="0.25">
      <c r="A59" s="14">
        <f>'RAW DATA PROYECTS'!B59</f>
        <v>57</v>
      </c>
      <c r="B59" s="14" t="str">
        <f>INDEX('RAW DATA PROYECTS'!A:A, MATCH(A59, 'RAW DATA PROYECTS'!B:B, 0))</f>
        <v>Neville</v>
      </c>
      <c r="C59" s="14"/>
      <c r="D59" s="15" cm="1">
        <f t="array" ref="D59">MIN(IF(Bitacora!$G:$G=B59, Bitacora!$B:$B))</f>
        <v>46069</v>
      </c>
      <c r="E59" s="15" cm="1">
        <f t="array" ref="E59">MAX(IF(Bitacora!$G:$G=B59, Bitacora!$C:$C))</f>
        <v>46076</v>
      </c>
      <c r="F59" s="14" t="str">
        <f>'RAW DATA PROYECTS'!N59</f>
        <v>Terminado</v>
      </c>
      <c r="G59" s="14" t="str">
        <f>INDEX(Bitacora!$F:$F, MATCH(E59, Bitacora!$C:$C, 0))</f>
        <v>Gabinetes</v>
      </c>
      <c r="H59" s="14">
        <f t="shared" ca="1" si="2"/>
        <v>33</v>
      </c>
      <c r="I59" s="14" t="str">
        <f t="shared" si="3"/>
        <v>✅ Completado</v>
      </c>
    </row>
    <row r="60" spans="1:9" x14ac:dyDescent="0.25">
      <c r="A60" s="14">
        <f>'RAW DATA PROYECTS'!B60</f>
        <v>58</v>
      </c>
      <c r="B60" s="14" t="str">
        <f>INDEX('RAW DATA PROYECTS'!A:A, MATCH(A60, 'RAW DATA PROYECTS'!B:B, 0))</f>
        <v>Kohar</v>
      </c>
      <c r="C60" s="14"/>
      <c r="D60" s="15" cm="1">
        <f t="array" ref="D60">MIN(IF(Bitacora!$G:$G=B60, Bitacora!$B:$B))</f>
        <v>46069</v>
      </c>
      <c r="E60" s="15" cm="1">
        <f t="array" ref="E60">MAX(IF(Bitacora!$G:$G=B60, Bitacora!$C:$C))</f>
        <v>46077</v>
      </c>
      <c r="F60" s="14" t="str">
        <f>'RAW DATA PROYECTS'!N60</f>
        <v>Terminado</v>
      </c>
      <c r="G60" s="14" t="str">
        <f>INDEX(Bitacora!$F:$F, MATCH(E60, Bitacora!$C:$C, 0))</f>
        <v>Correccion</v>
      </c>
      <c r="H60" s="14">
        <f t="shared" ca="1" si="2"/>
        <v>32</v>
      </c>
      <c r="I60" s="14" t="str">
        <f t="shared" si="3"/>
        <v>✅ Completado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8B8B-9C3E-4F41-AF83-85152F0BE891}">
  <dimension ref="A1:N88"/>
  <sheetViews>
    <sheetView zoomScale="94" zoomScaleNormal="130" workbookViewId="0">
      <pane ySplit="2" topLeftCell="A3" activePane="bottomLeft" state="frozen"/>
      <selection pane="bottomLeft" activeCell="F58" sqref="F58"/>
    </sheetView>
  </sheetViews>
  <sheetFormatPr baseColWidth="10" defaultRowHeight="13.8" x14ac:dyDescent="0.25"/>
  <cols>
    <col min="1" max="1" width="13.6640625" style="53" bestFit="1" customWidth="1"/>
    <col min="2" max="2" width="14.5546875" style="54" bestFit="1" customWidth="1"/>
    <col min="3" max="3" width="16.33203125" style="55" customWidth="1"/>
    <col min="4" max="4" width="16.88671875" style="56" customWidth="1"/>
    <col min="5" max="5" width="27.44140625" style="13" customWidth="1"/>
    <col min="6" max="6" width="26.109375" style="13" customWidth="1"/>
    <col min="7" max="10" width="11.5546875" style="13"/>
    <col min="11" max="11" width="38.109375" style="13" customWidth="1"/>
    <col min="12" max="16384" width="11.5546875" style="13"/>
  </cols>
  <sheetData>
    <row r="1" spans="1:14" ht="29.4" customHeight="1" x14ac:dyDescent="0.25">
      <c r="A1" s="97" t="s">
        <v>403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4" ht="15.6" x14ac:dyDescent="0.3">
      <c r="A2" s="75" t="s">
        <v>290</v>
      </c>
      <c r="B2" s="76" t="s">
        <v>173</v>
      </c>
      <c r="C2" s="77" t="s">
        <v>174</v>
      </c>
      <c r="D2" s="78" t="s">
        <v>187</v>
      </c>
      <c r="E2" s="79" t="s">
        <v>175</v>
      </c>
      <c r="F2" s="79" t="s">
        <v>180</v>
      </c>
      <c r="G2" s="79" t="s">
        <v>1</v>
      </c>
      <c r="H2" s="79" t="s">
        <v>65</v>
      </c>
      <c r="I2" s="79" t="s">
        <v>221</v>
      </c>
      <c r="J2" s="79" t="s">
        <v>177</v>
      </c>
      <c r="K2" s="78" t="s">
        <v>218</v>
      </c>
      <c r="M2" s="47" t="s">
        <v>347</v>
      </c>
      <c r="N2" s="47" t="s">
        <v>348</v>
      </c>
    </row>
    <row r="3" spans="1:14" x14ac:dyDescent="0.25">
      <c r="A3" s="57">
        <v>1</v>
      </c>
      <c r="B3" s="71">
        <v>46058</v>
      </c>
      <c r="C3" s="72">
        <v>46058</v>
      </c>
      <c r="D3" s="73">
        <f>MAX(1, C3-B3)</f>
        <v>1</v>
      </c>
      <c r="E3" s="74" t="s">
        <v>176</v>
      </c>
      <c r="F3" s="74" t="s">
        <v>181</v>
      </c>
      <c r="G3" s="74" t="s">
        <v>165</v>
      </c>
      <c r="H3" s="74"/>
      <c r="I3" s="74"/>
      <c r="J3" s="74" t="s">
        <v>178</v>
      </c>
      <c r="K3" s="74"/>
      <c r="M3" s="13" t="s">
        <v>172</v>
      </c>
      <c r="N3" s="51">
        <v>0.1</v>
      </c>
    </row>
    <row r="4" spans="1:14" x14ac:dyDescent="0.25">
      <c r="A4" s="48">
        <f>A3+1</f>
        <v>2</v>
      </c>
      <c r="B4" s="19">
        <v>46057</v>
      </c>
      <c r="C4" s="49">
        <v>46057</v>
      </c>
      <c r="D4" s="50">
        <f t="shared" ref="D4:D36" si="0">MAX(1, C4-B4)</f>
        <v>1</v>
      </c>
      <c r="E4" s="17" t="s">
        <v>185</v>
      </c>
      <c r="F4" s="17" t="s">
        <v>182</v>
      </c>
      <c r="G4" s="17" t="s">
        <v>139</v>
      </c>
      <c r="H4" s="17"/>
      <c r="I4" s="17"/>
      <c r="J4" s="17" t="s">
        <v>179</v>
      </c>
      <c r="K4" s="17" t="s">
        <v>336</v>
      </c>
      <c r="M4" s="13" t="s">
        <v>188</v>
      </c>
      <c r="N4" s="51">
        <f>N3+0.1</f>
        <v>0.2</v>
      </c>
    </row>
    <row r="5" spans="1:14" x14ac:dyDescent="0.25">
      <c r="A5" s="48">
        <f t="shared" ref="A5:A68" si="1">A4+1</f>
        <v>3</v>
      </c>
      <c r="B5" s="19">
        <v>46058</v>
      </c>
      <c r="C5" s="49">
        <v>46059</v>
      </c>
      <c r="D5" s="50">
        <f t="shared" si="0"/>
        <v>1</v>
      </c>
      <c r="E5" s="17" t="s">
        <v>184</v>
      </c>
      <c r="F5" s="17" t="s">
        <v>182</v>
      </c>
      <c r="G5" s="17" t="s">
        <v>139</v>
      </c>
      <c r="H5" s="17"/>
      <c r="I5" s="17"/>
      <c r="J5" s="17" t="s">
        <v>179</v>
      </c>
      <c r="K5" s="17"/>
      <c r="M5" s="13" t="s">
        <v>349</v>
      </c>
      <c r="N5" s="51">
        <f t="shared" ref="N5:N12" si="2">N4+0.1</f>
        <v>0.30000000000000004</v>
      </c>
    </row>
    <row r="6" spans="1:14" x14ac:dyDescent="0.25">
      <c r="A6" s="48">
        <f t="shared" si="1"/>
        <v>4</v>
      </c>
      <c r="B6" s="19">
        <v>46056</v>
      </c>
      <c r="C6" s="49">
        <v>46059</v>
      </c>
      <c r="D6" s="50">
        <f t="shared" si="0"/>
        <v>3</v>
      </c>
      <c r="E6" s="17" t="s">
        <v>172</v>
      </c>
      <c r="F6" s="17" t="s">
        <v>182</v>
      </c>
      <c r="G6" s="17" t="s">
        <v>165</v>
      </c>
      <c r="H6" s="17"/>
      <c r="I6" s="17"/>
      <c r="J6" s="17" t="s">
        <v>183</v>
      </c>
      <c r="K6" s="17"/>
      <c r="M6" s="13" t="s">
        <v>350</v>
      </c>
      <c r="N6" s="51">
        <f t="shared" si="2"/>
        <v>0.4</v>
      </c>
    </row>
    <row r="7" spans="1:14" x14ac:dyDescent="0.25">
      <c r="A7" s="48">
        <f t="shared" si="1"/>
        <v>5</v>
      </c>
      <c r="B7" s="19">
        <v>46059</v>
      </c>
      <c r="C7" s="49">
        <v>46059</v>
      </c>
      <c r="D7" s="50">
        <f t="shared" si="0"/>
        <v>1</v>
      </c>
      <c r="E7" s="17" t="s">
        <v>172</v>
      </c>
      <c r="F7" s="17" t="s">
        <v>186</v>
      </c>
      <c r="G7" s="17" t="s">
        <v>1</v>
      </c>
      <c r="H7" s="17"/>
      <c r="I7" s="17"/>
      <c r="J7" s="17" t="s">
        <v>183</v>
      </c>
      <c r="K7" s="17" t="s">
        <v>337</v>
      </c>
      <c r="M7" s="13" t="s">
        <v>184</v>
      </c>
      <c r="N7" s="51">
        <f t="shared" si="2"/>
        <v>0.5</v>
      </c>
    </row>
    <row r="8" spans="1:14" x14ac:dyDescent="0.25">
      <c r="A8" s="48">
        <f t="shared" si="1"/>
        <v>6</v>
      </c>
      <c r="B8" s="19">
        <v>46059</v>
      </c>
      <c r="C8" s="49">
        <v>46062</v>
      </c>
      <c r="D8" s="50">
        <f t="shared" si="0"/>
        <v>3</v>
      </c>
      <c r="E8" s="17" t="s">
        <v>188</v>
      </c>
      <c r="F8" s="17" t="s">
        <v>182</v>
      </c>
      <c r="G8" s="17" t="s">
        <v>165</v>
      </c>
      <c r="H8" s="17"/>
      <c r="I8" s="17"/>
      <c r="J8" s="17" t="s">
        <v>183</v>
      </c>
      <c r="K8" s="17"/>
      <c r="M8" s="13" t="s">
        <v>176</v>
      </c>
      <c r="N8" s="51">
        <f t="shared" si="2"/>
        <v>0.6</v>
      </c>
    </row>
    <row r="9" spans="1:14" x14ac:dyDescent="0.25">
      <c r="A9" s="48">
        <f>A8+1</f>
        <v>7</v>
      </c>
      <c r="B9" s="19">
        <v>46062</v>
      </c>
      <c r="C9" s="49">
        <v>46062</v>
      </c>
      <c r="D9" s="50">
        <f t="shared" si="0"/>
        <v>1</v>
      </c>
      <c r="E9" s="17" t="s">
        <v>184</v>
      </c>
      <c r="F9" s="17" t="s">
        <v>182</v>
      </c>
      <c r="G9" s="17" t="s">
        <v>165</v>
      </c>
      <c r="H9" s="17"/>
      <c r="I9" s="17"/>
      <c r="J9" s="17" t="s">
        <v>183</v>
      </c>
      <c r="K9" s="17"/>
      <c r="M9" s="13" t="s">
        <v>217</v>
      </c>
      <c r="N9" s="51">
        <f t="shared" si="2"/>
        <v>0.7</v>
      </c>
    </row>
    <row r="10" spans="1:14" x14ac:dyDescent="0.25">
      <c r="A10" s="48">
        <f t="shared" si="1"/>
        <v>8</v>
      </c>
      <c r="B10" s="19">
        <v>46062</v>
      </c>
      <c r="C10" s="49">
        <v>46062</v>
      </c>
      <c r="D10" s="50">
        <f t="shared" si="0"/>
        <v>1</v>
      </c>
      <c r="E10" s="17" t="s">
        <v>185</v>
      </c>
      <c r="F10" s="17" t="s">
        <v>182</v>
      </c>
      <c r="G10" s="17" t="s">
        <v>165</v>
      </c>
      <c r="H10" s="17"/>
      <c r="I10" s="17"/>
      <c r="J10" s="17" t="s">
        <v>183</v>
      </c>
      <c r="K10" s="17"/>
      <c r="M10" s="13" t="s">
        <v>230</v>
      </c>
      <c r="N10" s="51">
        <f t="shared" si="2"/>
        <v>0.79999999999999993</v>
      </c>
    </row>
    <row r="11" spans="1:14" x14ac:dyDescent="0.25">
      <c r="A11" s="48">
        <f t="shared" si="1"/>
        <v>9</v>
      </c>
      <c r="B11" s="19">
        <v>46063</v>
      </c>
      <c r="C11" s="49">
        <v>46064</v>
      </c>
      <c r="D11" s="50">
        <f t="shared" si="0"/>
        <v>1</v>
      </c>
      <c r="E11" s="17" t="s">
        <v>217</v>
      </c>
      <c r="F11" s="17" t="s">
        <v>182</v>
      </c>
      <c r="G11" s="17" t="s">
        <v>165</v>
      </c>
      <c r="H11" s="17"/>
      <c r="I11" s="17"/>
      <c r="J11" s="17" t="s">
        <v>183</v>
      </c>
      <c r="K11" s="17" t="s">
        <v>281</v>
      </c>
      <c r="M11" s="13" t="s">
        <v>351</v>
      </c>
      <c r="N11" s="51">
        <f t="shared" si="2"/>
        <v>0.89999999999999991</v>
      </c>
    </row>
    <row r="12" spans="1:14" x14ac:dyDescent="0.25">
      <c r="A12" s="48">
        <f t="shared" si="1"/>
        <v>10</v>
      </c>
      <c r="B12" s="19">
        <v>46063</v>
      </c>
      <c r="C12" s="49">
        <v>46065</v>
      </c>
      <c r="D12" s="50">
        <f t="shared" si="0"/>
        <v>2</v>
      </c>
      <c r="E12" s="17" t="s">
        <v>230</v>
      </c>
      <c r="F12" s="17" t="s">
        <v>182</v>
      </c>
      <c r="G12" s="17" t="s">
        <v>165</v>
      </c>
      <c r="H12" s="17"/>
      <c r="I12" s="17"/>
      <c r="J12" s="17" t="s">
        <v>183</v>
      </c>
      <c r="K12" s="17" t="s">
        <v>281</v>
      </c>
      <c r="M12" s="13" t="s">
        <v>289</v>
      </c>
      <c r="N12" s="51">
        <f t="shared" si="2"/>
        <v>0.99999999999999989</v>
      </c>
    </row>
    <row r="13" spans="1:14" x14ac:dyDescent="0.25">
      <c r="A13" s="48">
        <f t="shared" si="1"/>
        <v>11</v>
      </c>
      <c r="B13" s="19">
        <v>46066</v>
      </c>
      <c r="C13" s="19">
        <v>46066</v>
      </c>
      <c r="D13" s="50">
        <f t="shared" si="0"/>
        <v>1</v>
      </c>
      <c r="E13" s="17" t="s">
        <v>289</v>
      </c>
      <c r="F13" s="17" t="s">
        <v>181</v>
      </c>
      <c r="G13" s="17" t="s">
        <v>165</v>
      </c>
      <c r="H13" s="17"/>
      <c r="I13" s="17"/>
      <c r="J13" s="17" t="s">
        <v>183</v>
      </c>
      <c r="K13" s="17"/>
    </row>
    <row r="14" spans="1:14" x14ac:dyDescent="0.25">
      <c r="A14" s="48">
        <f t="shared" si="1"/>
        <v>12</v>
      </c>
      <c r="B14" s="19">
        <v>46066</v>
      </c>
      <c r="C14" s="19">
        <v>46066</v>
      </c>
      <c r="D14" s="50">
        <f t="shared" si="0"/>
        <v>1</v>
      </c>
      <c r="E14" s="17" t="s">
        <v>278</v>
      </c>
      <c r="F14" s="17" t="s">
        <v>279</v>
      </c>
      <c r="G14" s="17" t="s">
        <v>139</v>
      </c>
      <c r="H14" s="17"/>
      <c r="I14" s="17"/>
      <c r="J14" s="17" t="s">
        <v>183</v>
      </c>
      <c r="K14" s="17" t="s">
        <v>280</v>
      </c>
      <c r="M14" s="52" t="s">
        <v>3</v>
      </c>
    </row>
    <row r="15" spans="1:14" x14ac:dyDescent="0.25">
      <c r="A15" s="48">
        <f t="shared" si="1"/>
        <v>13</v>
      </c>
      <c r="B15" s="19">
        <v>46066</v>
      </c>
      <c r="C15" s="19">
        <v>46066</v>
      </c>
      <c r="D15" s="50">
        <f t="shared" si="0"/>
        <v>1</v>
      </c>
      <c r="E15" s="17" t="s">
        <v>278</v>
      </c>
      <c r="F15" s="17" t="s">
        <v>182</v>
      </c>
      <c r="G15" s="17" t="s">
        <v>139</v>
      </c>
      <c r="H15" s="17"/>
      <c r="I15" s="17"/>
      <c r="J15" s="17" t="s">
        <v>183</v>
      </c>
      <c r="K15" s="17" t="s">
        <v>280</v>
      </c>
      <c r="M15" s="13" t="s">
        <v>356</v>
      </c>
    </row>
    <row r="16" spans="1:14" x14ac:dyDescent="0.25">
      <c r="A16" s="48">
        <f t="shared" si="1"/>
        <v>14</v>
      </c>
      <c r="B16" s="19">
        <v>46066</v>
      </c>
      <c r="C16" s="19">
        <v>46066</v>
      </c>
      <c r="D16" s="50">
        <f t="shared" si="0"/>
        <v>1</v>
      </c>
      <c r="E16" s="17" t="s">
        <v>278</v>
      </c>
      <c r="F16" s="17" t="s">
        <v>279</v>
      </c>
      <c r="G16" s="17" t="s">
        <v>156</v>
      </c>
      <c r="H16" s="17"/>
      <c r="I16" s="17"/>
      <c r="J16" s="17" t="s">
        <v>183</v>
      </c>
      <c r="K16" s="17" t="s">
        <v>280</v>
      </c>
    </row>
    <row r="17" spans="1:11" x14ac:dyDescent="0.25">
      <c r="A17" s="48">
        <f t="shared" si="1"/>
        <v>15</v>
      </c>
      <c r="B17" s="19">
        <v>46066</v>
      </c>
      <c r="C17" s="19">
        <v>46066</v>
      </c>
      <c r="D17" s="50">
        <f t="shared" si="0"/>
        <v>1</v>
      </c>
      <c r="E17" s="17" t="s">
        <v>278</v>
      </c>
      <c r="F17" s="17" t="s">
        <v>182</v>
      </c>
      <c r="G17" s="17" t="s">
        <v>154</v>
      </c>
      <c r="H17" s="17"/>
      <c r="I17" s="17"/>
      <c r="J17" s="17" t="s">
        <v>183</v>
      </c>
      <c r="K17" s="17" t="s">
        <v>280</v>
      </c>
    </row>
    <row r="18" spans="1:11" x14ac:dyDescent="0.25">
      <c r="A18" s="48">
        <f t="shared" si="1"/>
        <v>16</v>
      </c>
      <c r="B18" s="19">
        <v>46067</v>
      </c>
      <c r="C18" s="19">
        <v>46067</v>
      </c>
      <c r="D18" s="50">
        <f t="shared" si="0"/>
        <v>1</v>
      </c>
      <c r="E18" s="17" t="s">
        <v>289</v>
      </c>
      <c r="F18" s="17" t="s">
        <v>291</v>
      </c>
      <c r="G18" s="17" t="s">
        <v>139</v>
      </c>
      <c r="H18" s="17"/>
      <c r="I18" s="17"/>
      <c r="J18" s="17" t="s">
        <v>183</v>
      </c>
      <c r="K18" s="17" t="s">
        <v>292</v>
      </c>
    </row>
    <row r="19" spans="1:11" x14ac:dyDescent="0.25">
      <c r="A19" s="48">
        <f t="shared" si="1"/>
        <v>17</v>
      </c>
      <c r="B19" s="19">
        <v>46069</v>
      </c>
      <c r="C19" s="19">
        <v>46069</v>
      </c>
      <c r="D19" s="50">
        <f t="shared" si="0"/>
        <v>1</v>
      </c>
      <c r="E19" s="17" t="s">
        <v>172</v>
      </c>
      <c r="F19" s="17" t="s">
        <v>182</v>
      </c>
      <c r="G19" s="17" t="s">
        <v>159</v>
      </c>
      <c r="H19" s="17"/>
      <c r="I19" s="17"/>
      <c r="J19" s="17" t="s">
        <v>178</v>
      </c>
      <c r="K19" s="17" t="s">
        <v>334</v>
      </c>
    </row>
    <row r="20" spans="1:11" x14ac:dyDescent="0.25">
      <c r="A20" s="48">
        <f t="shared" si="1"/>
        <v>18</v>
      </c>
      <c r="B20" s="19">
        <v>46069</v>
      </c>
      <c r="C20" s="19">
        <v>46069</v>
      </c>
      <c r="D20" s="50">
        <f t="shared" si="0"/>
        <v>1</v>
      </c>
      <c r="E20" s="17" t="s">
        <v>188</v>
      </c>
      <c r="F20" s="17" t="s">
        <v>182</v>
      </c>
      <c r="G20" s="17" t="s">
        <v>159</v>
      </c>
      <c r="H20" s="17"/>
      <c r="I20" s="17"/>
      <c r="J20" s="17" t="s">
        <v>178</v>
      </c>
      <c r="K20" s="17"/>
    </row>
    <row r="21" spans="1:11" x14ac:dyDescent="0.25">
      <c r="A21" s="48">
        <f t="shared" si="1"/>
        <v>19</v>
      </c>
      <c r="B21" s="19">
        <v>46069</v>
      </c>
      <c r="C21" s="19">
        <v>46069</v>
      </c>
      <c r="D21" s="50">
        <f t="shared" si="0"/>
        <v>1</v>
      </c>
      <c r="E21" s="17" t="s">
        <v>172</v>
      </c>
      <c r="F21" s="17" t="s">
        <v>181</v>
      </c>
      <c r="G21" s="17" t="s">
        <v>139</v>
      </c>
      <c r="H21" s="17"/>
      <c r="I21" s="17"/>
      <c r="J21" s="17" t="s">
        <v>183</v>
      </c>
      <c r="K21" s="17" t="s">
        <v>335</v>
      </c>
    </row>
    <row r="22" spans="1:11" x14ac:dyDescent="0.25">
      <c r="A22" s="48">
        <f t="shared" si="1"/>
        <v>20</v>
      </c>
      <c r="B22" s="19">
        <v>46069</v>
      </c>
      <c r="C22" s="19">
        <v>46069</v>
      </c>
      <c r="D22" s="50">
        <f t="shared" si="0"/>
        <v>1</v>
      </c>
      <c r="E22" s="17" t="s">
        <v>188</v>
      </c>
      <c r="F22" s="17" t="s">
        <v>181</v>
      </c>
      <c r="G22" s="17" t="s">
        <v>139</v>
      </c>
      <c r="H22" s="17"/>
      <c r="I22" s="17"/>
      <c r="J22" s="17" t="s">
        <v>183</v>
      </c>
      <c r="K22" s="17"/>
    </row>
    <row r="23" spans="1:11" x14ac:dyDescent="0.25">
      <c r="A23" s="48">
        <f t="shared" si="1"/>
        <v>21</v>
      </c>
      <c r="B23" s="19">
        <v>46069</v>
      </c>
      <c r="C23" s="19">
        <v>46071</v>
      </c>
      <c r="D23" s="50">
        <f t="shared" si="0"/>
        <v>2</v>
      </c>
      <c r="E23" s="17" t="s">
        <v>172</v>
      </c>
      <c r="F23" s="17" t="s">
        <v>182</v>
      </c>
      <c r="G23" s="17" t="s">
        <v>78</v>
      </c>
      <c r="H23" s="17"/>
      <c r="I23" s="17"/>
      <c r="J23" s="17" t="s">
        <v>179</v>
      </c>
      <c r="K23" s="17"/>
    </row>
    <row r="24" spans="1:11" x14ac:dyDescent="0.25">
      <c r="A24" s="48">
        <f t="shared" si="1"/>
        <v>22</v>
      </c>
      <c r="B24" s="19">
        <v>46069</v>
      </c>
      <c r="C24" s="19">
        <v>46071</v>
      </c>
      <c r="D24" s="50">
        <f t="shared" si="0"/>
        <v>2</v>
      </c>
      <c r="E24" s="17" t="s">
        <v>172</v>
      </c>
      <c r="F24" s="17" t="s">
        <v>182</v>
      </c>
      <c r="G24" s="17" t="s">
        <v>362</v>
      </c>
      <c r="H24" s="17"/>
      <c r="I24" s="17"/>
      <c r="J24" s="17" t="s">
        <v>179</v>
      </c>
      <c r="K24" s="17"/>
    </row>
    <row r="25" spans="1:11" x14ac:dyDescent="0.25">
      <c r="A25" s="48">
        <f t="shared" si="1"/>
        <v>23</v>
      </c>
      <c r="B25" s="19">
        <v>46069</v>
      </c>
      <c r="C25" s="19">
        <v>46071</v>
      </c>
      <c r="D25" s="50">
        <f t="shared" si="0"/>
        <v>2</v>
      </c>
      <c r="E25" s="17" t="s">
        <v>172</v>
      </c>
      <c r="F25" s="17" t="s">
        <v>182</v>
      </c>
      <c r="G25" s="17" t="s">
        <v>363</v>
      </c>
      <c r="H25" s="17"/>
      <c r="I25" s="17"/>
      <c r="J25" s="17" t="s">
        <v>179</v>
      </c>
      <c r="K25" s="17"/>
    </row>
    <row r="26" spans="1:11" x14ac:dyDescent="0.25">
      <c r="A26" s="48">
        <f t="shared" si="1"/>
        <v>24</v>
      </c>
      <c r="B26" s="19">
        <v>46069</v>
      </c>
      <c r="C26" s="19">
        <v>46071</v>
      </c>
      <c r="D26" s="50">
        <f t="shared" si="0"/>
        <v>2</v>
      </c>
      <c r="E26" s="17" t="s">
        <v>172</v>
      </c>
      <c r="F26" s="17" t="s">
        <v>182</v>
      </c>
      <c r="G26" s="17"/>
      <c r="H26" s="17"/>
      <c r="I26" s="17"/>
      <c r="J26" s="17" t="s">
        <v>179</v>
      </c>
      <c r="K26" s="17"/>
    </row>
    <row r="27" spans="1:11" x14ac:dyDescent="0.25">
      <c r="A27" s="48">
        <f t="shared" si="1"/>
        <v>25</v>
      </c>
      <c r="B27" s="19">
        <v>46069</v>
      </c>
      <c r="C27" s="19">
        <v>46070</v>
      </c>
      <c r="D27" s="50">
        <f t="shared" si="0"/>
        <v>1</v>
      </c>
      <c r="E27" s="17" t="s">
        <v>172</v>
      </c>
      <c r="F27" s="17" t="s">
        <v>339</v>
      </c>
      <c r="G27" s="17" t="s">
        <v>139</v>
      </c>
      <c r="H27" s="17"/>
      <c r="I27" s="17"/>
      <c r="J27" s="17" t="s">
        <v>178</v>
      </c>
      <c r="K27" s="17"/>
    </row>
    <row r="28" spans="1:11" x14ac:dyDescent="0.25">
      <c r="A28" s="48">
        <f t="shared" si="1"/>
        <v>26</v>
      </c>
      <c r="B28" s="19">
        <v>46069</v>
      </c>
      <c r="C28" s="19">
        <v>46070</v>
      </c>
      <c r="D28" s="50">
        <f t="shared" si="0"/>
        <v>1</v>
      </c>
      <c r="E28" s="17" t="s">
        <v>188</v>
      </c>
      <c r="F28" s="17" t="s">
        <v>339</v>
      </c>
      <c r="G28" s="17" t="s">
        <v>139</v>
      </c>
      <c r="H28" s="17"/>
      <c r="I28" s="17"/>
      <c r="J28" s="17" t="s">
        <v>178</v>
      </c>
      <c r="K28" s="17"/>
    </row>
    <row r="29" spans="1:11" x14ac:dyDescent="0.25">
      <c r="A29" s="48">
        <f t="shared" si="1"/>
        <v>27</v>
      </c>
      <c r="B29" s="19">
        <v>46069</v>
      </c>
      <c r="C29" s="19">
        <v>46070</v>
      </c>
      <c r="D29" s="50">
        <f t="shared" si="0"/>
        <v>1</v>
      </c>
      <c r="E29" s="17" t="s">
        <v>172</v>
      </c>
      <c r="F29" s="17" t="s">
        <v>340</v>
      </c>
      <c r="G29" s="17" t="s">
        <v>139</v>
      </c>
      <c r="H29" s="17"/>
      <c r="I29" s="17"/>
      <c r="J29" s="17" t="s">
        <v>178</v>
      </c>
      <c r="K29" s="17" t="s">
        <v>341</v>
      </c>
    </row>
    <row r="30" spans="1:11" x14ac:dyDescent="0.25">
      <c r="A30" s="48">
        <f t="shared" si="1"/>
        <v>28</v>
      </c>
      <c r="B30" s="19">
        <v>46069</v>
      </c>
      <c r="C30" s="19">
        <v>46070</v>
      </c>
      <c r="D30" s="50">
        <f t="shared" si="0"/>
        <v>1</v>
      </c>
      <c r="E30" s="17" t="s">
        <v>188</v>
      </c>
      <c r="F30" s="17" t="s">
        <v>340</v>
      </c>
      <c r="G30" s="17" t="s">
        <v>139</v>
      </c>
      <c r="H30" s="17"/>
      <c r="I30" s="17"/>
      <c r="J30" s="17" t="s">
        <v>178</v>
      </c>
      <c r="K30" s="17"/>
    </row>
    <row r="31" spans="1:11" x14ac:dyDescent="0.25">
      <c r="A31" s="48">
        <f t="shared" si="1"/>
        <v>29</v>
      </c>
      <c r="B31" s="19">
        <v>46069</v>
      </c>
      <c r="C31" s="19">
        <v>46070</v>
      </c>
      <c r="D31" s="50">
        <f t="shared" si="0"/>
        <v>1</v>
      </c>
      <c r="E31" s="17" t="s">
        <v>172</v>
      </c>
      <c r="F31" s="17" t="s">
        <v>340</v>
      </c>
      <c r="G31" s="17" t="s">
        <v>139</v>
      </c>
      <c r="H31" s="17"/>
      <c r="I31" s="17"/>
      <c r="J31" s="17" t="s">
        <v>178</v>
      </c>
      <c r="K31" s="17" t="s">
        <v>342</v>
      </c>
    </row>
    <row r="32" spans="1:11" x14ac:dyDescent="0.25">
      <c r="A32" s="48">
        <f t="shared" si="1"/>
        <v>30</v>
      </c>
      <c r="B32" s="19">
        <v>46069</v>
      </c>
      <c r="C32" s="19">
        <v>46070</v>
      </c>
      <c r="D32" s="50">
        <f t="shared" si="0"/>
        <v>1</v>
      </c>
      <c r="E32" s="17" t="s">
        <v>188</v>
      </c>
      <c r="F32" s="17" t="s">
        <v>340</v>
      </c>
      <c r="G32" s="17" t="s">
        <v>139</v>
      </c>
      <c r="H32" s="17"/>
      <c r="I32" s="17"/>
      <c r="J32" s="17" t="s">
        <v>178</v>
      </c>
      <c r="K32" s="17"/>
    </row>
    <row r="33" spans="1:11" x14ac:dyDescent="0.25">
      <c r="A33" s="48">
        <f t="shared" si="1"/>
        <v>31</v>
      </c>
      <c r="B33" s="19">
        <v>46069</v>
      </c>
      <c r="C33" s="19">
        <v>46070</v>
      </c>
      <c r="D33" s="50">
        <f t="shared" si="0"/>
        <v>1</v>
      </c>
      <c r="E33" s="17" t="s">
        <v>172</v>
      </c>
      <c r="F33" s="17" t="s">
        <v>182</v>
      </c>
      <c r="G33" s="17" t="s">
        <v>159</v>
      </c>
      <c r="H33" s="17"/>
      <c r="I33" s="17"/>
      <c r="J33" s="17" t="s">
        <v>183</v>
      </c>
      <c r="K33" s="17" t="s">
        <v>343</v>
      </c>
    </row>
    <row r="34" spans="1:11" x14ac:dyDescent="0.25">
      <c r="A34" s="48">
        <f t="shared" si="1"/>
        <v>32</v>
      </c>
      <c r="B34" s="19">
        <v>46070</v>
      </c>
      <c r="C34" s="19">
        <v>46070</v>
      </c>
      <c r="D34" s="50">
        <f t="shared" si="0"/>
        <v>1</v>
      </c>
      <c r="E34" s="17" t="s">
        <v>188</v>
      </c>
      <c r="F34" s="17" t="s">
        <v>182</v>
      </c>
      <c r="G34" s="17" t="s">
        <v>159</v>
      </c>
      <c r="H34" s="17"/>
      <c r="I34" s="17"/>
      <c r="J34" s="17" t="s">
        <v>183</v>
      </c>
      <c r="K34" s="17"/>
    </row>
    <row r="35" spans="1:11" x14ac:dyDescent="0.25">
      <c r="A35" s="48">
        <f t="shared" si="1"/>
        <v>33</v>
      </c>
      <c r="B35" s="19">
        <v>46070</v>
      </c>
      <c r="C35" s="19">
        <v>46070</v>
      </c>
      <c r="D35" s="50">
        <f t="shared" si="0"/>
        <v>1</v>
      </c>
      <c r="E35" s="17" t="s">
        <v>344</v>
      </c>
      <c r="F35" s="17" t="s">
        <v>182</v>
      </c>
      <c r="G35" s="17" t="s">
        <v>159</v>
      </c>
      <c r="H35" s="17"/>
      <c r="I35" s="17"/>
      <c r="J35" s="17" t="s">
        <v>183</v>
      </c>
      <c r="K35" s="17"/>
    </row>
    <row r="36" spans="1:11" x14ac:dyDescent="0.25">
      <c r="A36" s="48">
        <f t="shared" si="1"/>
        <v>34</v>
      </c>
      <c r="B36" s="19">
        <v>46070</v>
      </c>
      <c r="C36" s="19">
        <v>46070</v>
      </c>
      <c r="D36" s="50">
        <f t="shared" si="0"/>
        <v>1</v>
      </c>
      <c r="E36" s="17" t="s">
        <v>184</v>
      </c>
      <c r="F36" s="17" t="s">
        <v>182</v>
      </c>
      <c r="G36" s="17" t="s">
        <v>159</v>
      </c>
      <c r="H36" s="17"/>
      <c r="I36" s="17"/>
      <c r="J36" s="17" t="s">
        <v>183</v>
      </c>
      <c r="K36" s="17"/>
    </row>
    <row r="37" spans="1:11" x14ac:dyDescent="0.25">
      <c r="A37" s="48">
        <f t="shared" si="1"/>
        <v>35</v>
      </c>
      <c r="B37" s="19">
        <v>46071</v>
      </c>
      <c r="C37" s="19">
        <v>46071</v>
      </c>
      <c r="D37" s="50">
        <f t="shared" ref="D37" si="3">MAX(1, C37-B37)</f>
        <v>1</v>
      </c>
      <c r="E37" s="17" t="s">
        <v>185</v>
      </c>
      <c r="F37" s="17" t="s">
        <v>182</v>
      </c>
      <c r="G37" s="17" t="s">
        <v>159</v>
      </c>
      <c r="H37" s="17"/>
      <c r="I37" s="17"/>
      <c r="J37" s="17" t="s">
        <v>183</v>
      </c>
      <c r="K37" s="17"/>
    </row>
    <row r="38" spans="1:11" x14ac:dyDescent="0.25">
      <c r="A38" s="48">
        <f t="shared" si="1"/>
        <v>36</v>
      </c>
      <c r="B38" s="19">
        <v>46072</v>
      </c>
      <c r="C38" s="19">
        <v>46072</v>
      </c>
      <c r="D38" s="50">
        <f>MAX(1, C38-B38)</f>
        <v>1</v>
      </c>
      <c r="E38" s="17" t="s">
        <v>188</v>
      </c>
      <c r="F38" s="17" t="s">
        <v>182</v>
      </c>
      <c r="G38" s="17" t="s">
        <v>363</v>
      </c>
      <c r="H38" s="17"/>
      <c r="I38" s="17"/>
      <c r="J38" s="17" t="s">
        <v>178</v>
      </c>
      <c r="K38" s="17"/>
    </row>
    <row r="39" spans="1:11" x14ac:dyDescent="0.25">
      <c r="A39" s="48">
        <f t="shared" si="1"/>
        <v>37</v>
      </c>
      <c r="B39" s="19">
        <v>46072</v>
      </c>
      <c r="C39" s="19">
        <v>46073</v>
      </c>
      <c r="D39" s="50">
        <f>MAX(1, C39-B39)</f>
        <v>1</v>
      </c>
      <c r="E39" s="17" t="s">
        <v>188</v>
      </c>
      <c r="F39" s="17" t="s">
        <v>182</v>
      </c>
      <c r="G39" s="17" t="s">
        <v>362</v>
      </c>
      <c r="H39" s="17"/>
      <c r="I39" s="17"/>
      <c r="J39" s="17" t="s">
        <v>183</v>
      </c>
      <c r="K39" s="17"/>
    </row>
    <row r="40" spans="1:11" x14ac:dyDescent="0.25">
      <c r="A40" s="48">
        <f t="shared" si="1"/>
        <v>38</v>
      </c>
      <c r="B40" s="19">
        <v>46073</v>
      </c>
      <c r="C40" s="19">
        <v>46073</v>
      </c>
      <c r="D40" s="50">
        <f>MAX(1, C40-B40)</f>
        <v>1</v>
      </c>
      <c r="E40" s="17" t="s">
        <v>188</v>
      </c>
      <c r="F40" s="17" t="s">
        <v>181</v>
      </c>
      <c r="G40" s="17" t="s">
        <v>362</v>
      </c>
      <c r="H40" s="17"/>
      <c r="I40" s="17"/>
      <c r="J40" s="17" t="s">
        <v>183</v>
      </c>
      <c r="K40" s="17"/>
    </row>
    <row r="41" spans="1:11" x14ac:dyDescent="0.25">
      <c r="A41" s="48">
        <f t="shared" si="1"/>
        <v>39</v>
      </c>
      <c r="B41" s="19">
        <v>46073</v>
      </c>
      <c r="C41" s="19">
        <v>46073</v>
      </c>
      <c r="D41" s="50">
        <f t="shared" ref="D41:D46" si="4">MAX(1, C41-B41)</f>
        <v>1</v>
      </c>
      <c r="E41" s="17" t="s">
        <v>344</v>
      </c>
      <c r="F41" s="17" t="s">
        <v>181</v>
      </c>
      <c r="G41" s="17" t="s">
        <v>362</v>
      </c>
      <c r="H41" s="17"/>
      <c r="I41" s="17"/>
      <c r="J41" s="17" t="s">
        <v>178</v>
      </c>
      <c r="K41" s="17"/>
    </row>
    <row r="42" spans="1:11" x14ac:dyDescent="0.25">
      <c r="A42" s="48">
        <f t="shared" si="1"/>
        <v>40</v>
      </c>
      <c r="B42" s="19">
        <v>46073</v>
      </c>
      <c r="C42" s="19">
        <v>46073</v>
      </c>
      <c r="D42" s="50">
        <f t="shared" si="4"/>
        <v>1</v>
      </c>
      <c r="E42" s="17" t="s">
        <v>344</v>
      </c>
      <c r="F42" s="17" t="s">
        <v>182</v>
      </c>
      <c r="G42" s="17" t="s">
        <v>363</v>
      </c>
      <c r="H42" s="17"/>
      <c r="I42" s="17"/>
      <c r="J42" s="17" t="s">
        <v>178</v>
      </c>
      <c r="K42" s="17"/>
    </row>
    <row r="43" spans="1:11" x14ac:dyDescent="0.25">
      <c r="A43" s="48">
        <f t="shared" si="1"/>
        <v>41</v>
      </c>
      <c r="B43" s="19">
        <v>46076</v>
      </c>
      <c r="C43" s="19">
        <v>46076</v>
      </c>
      <c r="D43" s="50">
        <f t="shared" si="4"/>
        <v>1</v>
      </c>
      <c r="E43" s="17" t="s">
        <v>185</v>
      </c>
      <c r="F43" s="17" t="s">
        <v>181</v>
      </c>
      <c r="G43" s="17" t="s">
        <v>362</v>
      </c>
      <c r="H43" s="17"/>
      <c r="I43" s="17"/>
      <c r="J43" s="17" t="s">
        <v>183</v>
      </c>
      <c r="K43" s="17"/>
    </row>
    <row r="44" spans="1:11" x14ac:dyDescent="0.25">
      <c r="A44" s="48">
        <f t="shared" si="1"/>
        <v>42</v>
      </c>
      <c r="B44" s="19">
        <v>46076</v>
      </c>
      <c r="C44" s="19">
        <v>46076</v>
      </c>
      <c r="D44" s="50">
        <f t="shared" si="4"/>
        <v>1</v>
      </c>
      <c r="E44" s="17" t="s">
        <v>278</v>
      </c>
      <c r="F44" s="17" t="s">
        <v>340</v>
      </c>
      <c r="G44" s="17" t="s">
        <v>154</v>
      </c>
      <c r="H44" s="17"/>
      <c r="I44" s="17"/>
      <c r="J44" s="17" t="s">
        <v>183</v>
      </c>
      <c r="K44" s="17" t="s">
        <v>397</v>
      </c>
    </row>
    <row r="45" spans="1:11" x14ac:dyDescent="0.25">
      <c r="A45" s="48">
        <f t="shared" si="1"/>
        <v>43</v>
      </c>
      <c r="B45" s="19">
        <v>46076</v>
      </c>
      <c r="C45" s="19">
        <v>46076</v>
      </c>
      <c r="D45" s="50">
        <f t="shared" si="4"/>
        <v>1</v>
      </c>
      <c r="E45" s="17" t="s">
        <v>278</v>
      </c>
      <c r="F45" s="17" t="s">
        <v>340</v>
      </c>
      <c r="G45" s="17" t="s">
        <v>139</v>
      </c>
      <c r="H45" s="17"/>
      <c r="I45" s="17"/>
      <c r="J45" s="17" t="s">
        <v>183</v>
      </c>
      <c r="K45" s="17" t="s">
        <v>398</v>
      </c>
    </row>
    <row r="46" spans="1:11" x14ac:dyDescent="0.25">
      <c r="A46" s="48">
        <f t="shared" si="1"/>
        <v>44</v>
      </c>
      <c r="B46" s="19">
        <v>46076</v>
      </c>
      <c r="C46" s="19">
        <v>46077</v>
      </c>
      <c r="D46" s="50">
        <f t="shared" si="4"/>
        <v>1</v>
      </c>
      <c r="E46" s="17" t="s">
        <v>278</v>
      </c>
      <c r="F46" s="17" t="s">
        <v>291</v>
      </c>
      <c r="G46" s="17" t="s">
        <v>165</v>
      </c>
      <c r="H46" s="17"/>
      <c r="I46" s="17"/>
      <c r="J46" s="17" t="s">
        <v>183</v>
      </c>
      <c r="K46" s="17" t="s">
        <v>396</v>
      </c>
    </row>
    <row r="47" spans="1:11" x14ac:dyDescent="0.25">
      <c r="A47" s="57">
        <f t="shared" si="1"/>
        <v>45</v>
      </c>
      <c r="B47" s="19">
        <v>46077</v>
      </c>
      <c r="C47" s="19">
        <v>46077</v>
      </c>
      <c r="D47" s="50">
        <f t="shared" ref="D47:D49" si="5">MAX(1, C47-B47)</f>
        <v>1</v>
      </c>
      <c r="E47" s="17" t="s">
        <v>278</v>
      </c>
      <c r="F47" s="17" t="s">
        <v>401</v>
      </c>
      <c r="G47" s="17" t="s">
        <v>165</v>
      </c>
      <c r="H47" s="17"/>
      <c r="I47" s="17"/>
      <c r="J47" s="17" t="s">
        <v>183</v>
      </c>
      <c r="K47" s="17" t="s">
        <v>402</v>
      </c>
    </row>
    <row r="48" spans="1:11" x14ac:dyDescent="0.25">
      <c r="A48" s="57">
        <f t="shared" si="1"/>
        <v>46</v>
      </c>
      <c r="B48" s="19">
        <v>46077</v>
      </c>
      <c r="C48" s="19">
        <v>46077</v>
      </c>
      <c r="D48" s="50">
        <f t="shared" si="5"/>
        <v>1</v>
      </c>
      <c r="E48" s="17" t="s">
        <v>188</v>
      </c>
      <c r="F48" s="17" t="s">
        <v>182</v>
      </c>
      <c r="G48" s="17" t="s">
        <v>363</v>
      </c>
      <c r="H48" s="17"/>
      <c r="I48" s="17"/>
      <c r="J48" s="17" t="s">
        <v>183</v>
      </c>
      <c r="K48" s="17"/>
    </row>
    <row r="49" spans="1:11" x14ac:dyDescent="0.25">
      <c r="A49" s="57">
        <f t="shared" si="1"/>
        <v>47</v>
      </c>
      <c r="B49" s="19">
        <v>46077</v>
      </c>
      <c r="C49" s="19">
        <v>46077</v>
      </c>
      <c r="D49" s="50">
        <f t="shared" si="5"/>
        <v>1</v>
      </c>
      <c r="E49" s="17" t="s">
        <v>217</v>
      </c>
      <c r="F49" s="17" t="s">
        <v>182</v>
      </c>
      <c r="G49" s="17" t="s">
        <v>159</v>
      </c>
      <c r="H49" s="17"/>
      <c r="I49" s="17"/>
      <c r="J49" s="17" t="s">
        <v>183</v>
      </c>
      <c r="K49" s="17"/>
    </row>
    <row r="50" spans="1:11" x14ac:dyDescent="0.25">
      <c r="A50" s="57">
        <f t="shared" si="1"/>
        <v>48</v>
      </c>
      <c r="B50" s="19">
        <v>46077</v>
      </c>
      <c r="C50" s="19">
        <v>46077</v>
      </c>
      <c r="D50" s="50">
        <f t="shared" ref="D50:D53" si="6">MAX(1, C50-B50)</f>
        <v>1</v>
      </c>
      <c r="E50" s="17" t="s">
        <v>344</v>
      </c>
      <c r="F50" s="17" t="s">
        <v>182</v>
      </c>
      <c r="G50" s="17" t="s">
        <v>363</v>
      </c>
      <c r="H50" s="17"/>
      <c r="I50" s="17"/>
      <c r="J50" s="17" t="s">
        <v>183</v>
      </c>
      <c r="K50" s="17"/>
    </row>
    <row r="51" spans="1:11" x14ac:dyDescent="0.25">
      <c r="A51" s="57">
        <f t="shared" si="1"/>
        <v>49</v>
      </c>
      <c r="B51" s="19">
        <v>46077</v>
      </c>
      <c r="C51" s="19">
        <v>46077</v>
      </c>
      <c r="D51" s="50">
        <f t="shared" si="6"/>
        <v>1</v>
      </c>
      <c r="E51" s="17" t="s">
        <v>188</v>
      </c>
      <c r="F51" s="17" t="s">
        <v>181</v>
      </c>
      <c r="G51" s="17" t="s">
        <v>363</v>
      </c>
      <c r="H51" s="17"/>
      <c r="I51" s="17"/>
      <c r="J51" s="17" t="s">
        <v>183</v>
      </c>
      <c r="K51" s="17"/>
    </row>
    <row r="52" spans="1:11" x14ac:dyDescent="0.25">
      <c r="A52" s="57">
        <f t="shared" si="1"/>
        <v>50</v>
      </c>
      <c r="B52" s="19">
        <v>46077</v>
      </c>
      <c r="C52" s="19">
        <v>46077</v>
      </c>
      <c r="D52" s="50">
        <f t="shared" si="6"/>
        <v>1</v>
      </c>
      <c r="E52" s="17" t="s">
        <v>344</v>
      </c>
      <c r="F52" s="17" t="s">
        <v>181</v>
      </c>
      <c r="G52" s="17" t="s">
        <v>363</v>
      </c>
      <c r="H52" s="17"/>
      <c r="I52" s="17"/>
      <c r="J52" s="17" t="s">
        <v>183</v>
      </c>
      <c r="K52" s="17"/>
    </row>
    <row r="53" spans="1:11" x14ac:dyDescent="0.25">
      <c r="A53" s="57">
        <f t="shared" si="1"/>
        <v>51</v>
      </c>
      <c r="B53" s="19">
        <v>46077</v>
      </c>
      <c r="C53" s="49"/>
      <c r="D53" s="50">
        <f t="shared" si="6"/>
        <v>1</v>
      </c>
      <c r="E53" s="17" t="s">
        <v>185</v>
      </c>
      <c r="F53" s="17" t="s">
        <v>181</v>
      </c>
      <c r="G53" s="17" t="s">
        <v>363</v>
      </c>
      <c r="H53" s="17"/>
      <c r="I53" s="17"/>
      <c r="J53" s="17" t="s">
        <v>183</v>
      </c>
      <c r="K53" s="17"/>
    </row>
    <row r="54" spans="1:11" x14ac:dyDescent="0.25">
      <c r="A54" s="57">
        <f t="shared" si="1"/>
        <v>52</v>
      </c>
      <c r="B54" s="19"/>
      <c r="C54" s="49"/>
      <c r="D54" s="50"/>
      <c r="E54" s="17"/>
      <c r="F54" s="17"/>
      <c r="G54" s="17"/>
      <c r="H54" s="17"/>
      <c r="I54" s="17"/>
      <c r="J54" s="17"/>
      <c r="K54" s="17"/>
    </row>
    <row r="55" spans="1:11" x14ac:dyDescent="0.25">
      <c r="A55" s="57">
        <f t="shared" si="1"/>
        <v>53</v>
      </c>
      <c r="B55" s="19"/>
      <c r="C55" s="49"/>
      <c r="D55" s="50"/>
      <c r="E55" s="17"/>
      <c r="F55" s="17"/>
      <c r="G55" s="17"/>
      <c r="H55" s="17"/>
      <c r="I55" s="17"/>
      <c r="J55" s="17"/>
      <c r="K55" s="17"/>
    </row>
    <row r="56" spans="1:11" x14ac:dyDescent="0.25">
      <c r="A56" s="57">
        <f t="shared" si="1"/>
        <v>54</v>
      </c>
      <c r="B56" s="19"/>
      <c r="C56" s="49"/>
      <c r="D56" s="50"/>
      <c r="E56" s="17"/>
      <c r="F56" s="17"/>
      <c r="G56" s="17"/>
      <c r="H56" s="17"/>
      <c r="I56" s="17"/>
      <c r="J56" s="17"/>
      <c r="K56" s="17"/>
    </row>
    <row r="57" spans="1:11" x14ac:dyDescent="0.25">
      <c r="A57" s="57">
        <f t="shared" si="1"/>
        <v>55</v>
      </c>
      <c r="B57" s="19"/>
      <c r="C57" s="49"/>
      <c r="D57" s="50"/>
      <c r="E57" s="17"/>
      <c r="F57" s="17"/>
      <c r="G57" s="17"/>
      <c r="H57" s="17"/>
      <c r="I57" s="17"/>
      <c r="J57" s="17"/>
      <c r="K57" s="17"/>
    </row>
    <row r="58" spans="1:11" x14ac:dyDescent="0.25">
      <c r="A58" s="57">
        <f t="shared" si="1"/>
        <v>56</v>
      </c>
      <c r="B58" s="19"/>
      <c r="C58" s="49"/>
      <c r="D58" s="50"/>
      <c r="E58" s="17"/>
      <c r="F58" s="17"/>
      <c r="G58" s="17"/>
      <c r="H58" s="17"/>
      <c r="I58" s="17"/>
      <c r="J58" s="17"/>
      <c r="K58" s="17"/>
    </row>
    <row r="59" spans="1:11" x14ac:dyDescent="0.25">
      <c r="A59" s="57">
        <f t="shared" si="1"/>
        <v>57</v>
      </c>
      <c r="B59" s="19"/>
      <c r="C59" s="49"/>
      <c r="D59" s="50"/>
      <c r="E59" s="17"/>
      <c r="F59" s="17"/>
      <c r="G59" s="17"/>
      <c r="H59" s="17"/>
      <c r="I59" s="17"/>
      <c r="J59" s="17"/>
      <c r="K59" s="17"/>
    </row>
    <row r="60" spans="1:11" x14ac:dyDescent="0.25">
      <c r="A60" s="57">
        <f t="shared" si="1"/>
        <v>58</v>
      </c>
      <c r="B60" s="19"/>
      <c r="C60" s="49"/>
      <c r="D60" s="50"/>
      <c r="E60" s="17"/>
      <c r="F60" s="17"/>
      <c r="G60" s="17"/>
      <c r="H60" s="17"/>
      <c r="I60" s="17"/>
      <c r="J60" s="17"/>
      <c r="K60" s="17"/>
    </row>
    <row r="61" spans="1:11" x14ac:dyDescent="0.25">
      <c r="A61" s="57">
        <f t="shared" si="1"/>
        <v>59</v>
      </c>
      <c r="B61" s="19"/>
      <c r="C61" s="49"/>
      <c r="D61" s="50"/>
      <c r="E61" s="17"/>
      <c r="F61" s="17"/>
      <c r="G61" s="17"/>
      <c r="H61" s="17"/>
      <c r="I61" s="17"/>
      <c r="J61" s="17"/>
      <c r="K61" s="17"/>
    </row>
    <row r="62" spans="1:11" x14ac:dyDescent="0.25">
      <c r="A62" s="57">
        <f t="shared" si="1"/>
        <v>60</v>
      </c>
      <c r="B62" s="19"/>
      <c r="C62" s="49"/>
      <c r="D62" s="50"/>
      <c r="E62" s="17"/>
      <c r="F62" s="17"/>
      <c r="G62" s="17"/>
      <c r="H62" s="17"/>
      <c r="I62" s="17"/>
      <c r="J62" s="17"/>
      <c r="K62" s="17"/>
    </row>
    <row r="63" spans="1:11" x14ac:dyDescent="0.25">
      <c r="A63" s="57">
        <f t="shared" si="1"/>
        <v>61</v>
      </c>
      <c r="B63" s="19"/>
      <c r="C63" s="49"/>
      <c r="D63" s="50"/>
      <c r="E63" s="17"/>
      <c r="F63" s="17"/>
      <c r="G63" s="17"/>
      <c r="H63" s="17"/>
      <c r="I63" s="17"/>
      <c r="J63" s="17"/>
      <c r="K63" s="17"/>
    </row>
    <row r="64" spans="1:11" x14ac:dyDescent="0.25">
      <c r="A64" s="57">
        <f t="shared" si="1"/>
        <v>62</v>
      </c>
      <c r="B64" s="19"/>
      <c r="C64" s="49"/>
      <c r="D64" s="50"/>
      <c r="E64" s="17"/>
      <c r="F64" s="17"/>
      <c r="G64" s="17"/>
      <c r="H64" s="17"/>
      <c r="I64" s="17"/>
      <c r="J64" s="17"/>
      <c r="K64" s="17"/>
    </row>
    <row r="65" spans="1:11" x14ac:dyDescent="0.25">
      <c r="A65" s="57">
        <f t="shared" si="1"/>
        <v>63</v>
      </c>
      <c r="B65" s="19"/>
      <c r="C65" s="49"/>
      <c r="D65" s="50"/>
      <c r="E65" s="17"/>
      <c r="F65" s="17"/>
      <c r="G65" s="17"/>
      <c r="H65" s="17"/>
      <c r="I65" s="17"/>
      <c r="J65" s="17"/>
      <c r="K65" s="17"/>
    </row>
    <row r="66" spans="1:11" x14ac:dyDescent="0.25">
      <c r="A66" s="57">
        <f t="shared" si="1"/>
        <v>64</v>
      </c>
      <c r="B66" s="19"/>
      <c r="C66" s="49"/>
      <c r="D66" s="50"/>
      <c r="E66" s="17"/>
      <c r="F66" s="17"/>
      <c r="G66" s="17"/>
      <c r="H66" s="17"/>
      <c r="I66" s="17"/>
      <c r="J66" s="17"/>
      <c r="K66" s="17"/>
    </row>
    <row r="67" spans="1:11" x14ac:dyDescent="0.25">
      <c r="A67" s="57">
        <f t="shared" si="1"/>
        <v>65</v>
      </c>
      <c r="B67" s="19"/>
      <c r="C67" s="49"/>
      <c r="D67" s="50"/>
      <c r="E67" s="17"/>
      <c r="F67" s="17"/>
      <c r="G67" s="17"/>
      <c r="H67" s="17"/>
      <c r="I67" s="17"/>
      <c r="J67" s="17"/>
      <c r="K67" s="17"/>
    </row>
    <row r="68" spans="1:11" x14ac:dyDescent="0.25">
      <c r="A68" s="57">
        <f t="shared" si="1"/>
        <v>66</v>
      </c>
      <c r="B68" s="19"/>
      <c r="C68" s="49"/>
      <c r="D68" s="50"/>
      <c r="E68" s="17"/>
      <c r="F68" s="17"/>
      <c r="G68" s="17"/>
      <c r="H68" s="17"/>
      <c r="I68" s="17"/>
      <c r="J68" s="17"/>
      <c r="K68" s="17"/>
    </row>
    <row r="69" spans="1:11" x14ac:dyDescent="0.25">
      <c r="A69" s="57">
        <f t="shared" ref="A69:A88" si="7">A68+1</f>
        <v>67</v>
      </c>
      <c r="B69" s="19"/>
      <c r="C69" s="49"/>
      <c r="D69" s="50"/>
      <c r="E69" s="17"/>
      <c r="F69" s="17"/>
      <c r="G69" s="17"/>
      <c r="H69" s="17"/>
      <c r="I69" s="17"/>
      <c r="J69" s="17"/>
      <c r="K69" s="17"/>
    </row>
    <row r="70" spans="1:11" x14ac:dyDescent="0.25">
      <c r="A70" s="57">
        <f t="shared" si="7"/>
        <v>68</v>
      </c>
      <c r="B70" s="19"/>
      <c r="C70" s="49"/>
      <c r="D70" s="50"/>
      <c r="E70" s="17"/>
      <c r="F70" s="17"/>
      <c r="G70" s="17"/>
      <c r="H70" s="17"/>
      <c r="I70" s="17"/>
      <c r="J70" s="17"/>
      <c r="K70" s="17"/>
    </row>
    <row r="71" spans="1:11" x14ac:dyDescent="0.25">
      <c r="A71" s="57">
        <f t="shared" si="7"/>
        <v>69</v>
      </c>
      <c r="B71" s="19"/>
      <c r="C71" s="49"/>
      <c r="D71" s="50"/>
      <c r="E71" s="17"/>
      <c r="F71" s="17"/>
      <c r="G71" s="17"/>
      <c r="H71" s="17"/>
      <c r="I71" s="17"/>
      <c r="J71" s="17"/>
      <c r="K71" s="17"/>
    </row>
    <row r="72" spans="1:11" x14ac:dyDescent="0.25">
      <c r="A72" s="57">
        <f t="shared" si="7"/>
        <v>70</v>
      </c>
      <c r="B72" s="19"/>
      <c r="C72" s="49"/>
      <c r="D72" s="50"/>
      <c r="E72" s="17"/>
      <c r="F72" s="17"/>
      <c r="G72" s="17"/>
      <c r="H72" s="17"/>
      <c r="I72" s="17"/>
      <c r="J72" s="17"/>
      <c r="K72" s="17"/>
    </row>
    <row r="73" spans="1:11" x14ac:dyDescent="0.25">
      <c r="A73" s="57">
        <f t="shared" si="7"/>
        <v>71</v>
      </c>
      <c r="B73" s="19"/>
      <c r="C73" s="49"/>
      <c r="D73" s="50"/>
      <c r="E73" s="17"/>
      <c r="F73" s="17"/>
      <c r="G73" s="17"/>
      <c r="H73" s="17"/>
      <c r="I73" s="17"/>
      <c r="J73" s="17"/>
      <c r="K73" s="17"/>
    </row>
    <row r="74" spans="1:11" x14ac:dyDescent="0.25">
      <c r="A74" s="57">
        <f t="shared" si="7"/>
        <v>72</v>
      </c>
      <c r="B74" s="19"/>
      <c r="C74" s="49"/>
      <c r="D74" s="50"/>
      <c r="E74" s="17"/>
      <c r="F74" s="17"/>
      <c r="G74" s="17"/>
      <c r="H74" s="17"/>
      <c r="I74" s="17"/>
      <c r="J74" s="17"/>
      <c r="K74" s="17"/>
    </row>
    <row r="75" spans="1:11" x14ac:dyDescent="0.25">
      <c r="A75" s="57">
        <f t="shared" si="7"/>
        <v>73</v>
      </c>
      <c r="B75" s="19"/>
      <c r="C75" s="49"/>
      <c r="D75" s="50"/>
      <c r="E75" s="17"/>
      <c r="F75" s="17"/>
      <c r="G75" s="17"/>
      <c r="H75" s="17"/>
      <c r="I75" s="17"/>
      <c r="J75" s="17"/>
      <c r="K75" s="17"/>
    </row>
    <row r="76" spans="1:11" x14ac:dyDescent="0.25">
      <c r="A76" s="57">
        <f t="shared" si="7"/>
        <v>74</v>
      </c>
      <c r="B76" s="19"/>
      <c r="C76" s="49"/>
      <c r="D76" s="50"/>
      <c r="E76" s="17"/>
      <c r="F76" s="17"/>
      <c r="G76" s="17"/>
      <c r="H76" s="17"/>
      <c r="I76" s="17"/>
      <c r="J76" s="17"/>
      <c r="K76" s="17"/>
    </row>
    <row r="77" spans="1:11" x14ac:dyDescent="0.25">
      <c r="A77" s="57">
        <f t="shared" si="7"/>
        <v>75</v>
      </c>
      <c r="B77" s="19"/>
      <c r="C77" s="49"/>
      <c r="D77" s="50"/>
      <c r="E77" s="17"/>
      <c r="F77" s="17"/>
      <c r="G77" s="17"/>
      <c r="H77" s="17"/>
      <c r="I77" s="17"/>
      <c r="J77" s="17"/>
      <c r="K77" s="17"/>
    </row>
    <row r="78" spans="1:11" x14ac:dyDescent="0.25">
      <c r="A78" s="57">
        <f t="shared" si="7"/>
        <v>76</v>
      </c>
      <c r="B78" s="19"/>
      <c r="C78" s="49"/>
      <c r="D78" s="50"/>
      <c r="E78" s="17"/>
      <c r="F78" s="17"/>
      <c r="G78" s="17"/>
      <c r="H78" s="17"/>
      <c r="I78" s="17"/>
      <c r="J78" s="17"/>
      <c r="K78" s="17"/>
    </row>
    <row r="79" spans="1:11" x14ac:dyDescent="0.25">
      <c r="A79" s="57">
        <f t="shared" si="7"/>
        <v>77</v>
      </c>
      <c r="B79" s="19"/>
      <c r="C79" s="49"/>
      <c r="D79" s="50"/>
      <c r="E79" s="17"/>
      <c r="F79" s="17"/>
      <c r="G79" s="17"/>
      <c r="H79" s="17"/>
      <c r="I79" s="17"/>
      <c r="J79" s="17"/>
      <c r="K79" s="17"/>
    </row>
    <row r="80" spans="1:11" x14ac:dyDescent="0.25">
      <c r="A80" s="57">
        <f t="shared" si="7"/>
        <v>78</v>
      </c>
      <c r="B80" s="19"/>
      <c r="C80" s="49"/>
      <c r="D80" s="50"/>
      <c r="E80" s="17"/>
      <c r="F80" s="17"/>
      <c r="G80" s="17"/>
      <c r="H80" s="17"/>
      <c r="I80" s="17"/>
      <c r="J80" s="17"/>
      <c r="K80" s="17"/>
    </row>
    <row r="81" spans="1:11" x14ac:dyDescent="0.25">
      <c r="A81" s="57">
        <f t="shared" si="7"/>
        <v>79</v>
      </c>
      <c r="B81" s="19"/>
      <c r="C81" s="49"/>
      <c r="D81" s="50"/>
      <c r="E81" s="17"/>
      <c r="F81" s="17"/>
      <c r="G81" s="17"/>
      <c r="H81" s="17"/>
      <c r="I81" s="17"/>
      <c r="J81" s="17"/>
      <c r="K81" s="17"/>
    </row>
    <row r="82" spans="1:11" x14ac:dyDescent="0.25">
      <c r="A82" s="57">
        <f t="shared" si="7"/>
        <v>80</v>
      </c>
      <c r="B82" s="19"/>
      <c r="C82" s="49"/>
      <c r="D82" s="50"/>
      <c r="E82" s="17"/>
      <c r="F82" s="17"/>
      <c r="G82" s="17"/>
      <c r="H82" s="17"/>
      <c r="I82" s="17"/>
      <c r="J82" s="17"/>
      <c r="K82" s="17"/>
    </row>
    <row r="83" spans="1:11" x14ac:dyDescent="0.25">
      <c r="A83" s="57">
        <f t="shared" si="7"/>
        <v>81</v>
      </c>
      <c r="B83" s="19"/>
      <c r="C83" s="49"/>
      <c r="D83" s="50"/>
      <c r="E83" s="17"/>
      <c r="F83" s="17"/>
      <c r="G83" s="17"/>
      <c r="H83" s="17"/>
      <c r="I83" s="17"/>
      <c r="J83" s="17"/>
      <c r="K83" s="17"/>
    </row>
    <row r="84" spans="1:11" x14ac:dyDescent="0.25">
      <c r="A84" s="57">
        <f t="shared" si="7"/>
        <v>82</v>
      </c>
      <c r="B84" s="19"/>
      <c r="C84" s="49"/>
      <c r="D84" s="50"/>
      <c r="E84" s="17"/>
      <c r="F84" s="17"/>
      <c r="G84" s="17"/>
      <c r="H84" s="17"/>
      <c r="I84" s="17"/>
      <c r="J84" s="17"/>
      <c r="K84" s="17"/>
    </row>
    <row r="85" spans="1:11" x14ac:dyDescent="0.25">
      <c r="A85" s="57">
        <f t="shared" si="7"/>
        <v>83</v>
      </c>
      <c r="B85" s="19"/>
      <c r="C85" s="49"/>
      <c r="D85" s="50"/>
      <c r="E85" s="17"/>
      <c r="F85" s="17"/>
      <c r="G85" s="17"/>
      <c r="H85" s="17"/>
      <c r="I85" s="17"/>
      <c r="J85" s="17"/>
      <c r="K85" s="17"/>
    </row>
    <row r="86" spans="1:11" x14ac:dyDescent="0.25">
      <c r="A86" s="57">
        <f t="shared" si="7"/>
        <v>84</v>
      </c>
      <c r="B86" s="19"/>
      <c r="C86" s="49"/>
      <c r="D86" s="50"/>
      <c r="E86" s="17"/>
      <c r="F86" s="17"/>
      <c r="G86" s="17"/>
      <c r="H86" s="17"/>
      <c r="I86" s="17"/>
      <c r="J86" s="17"/>
      <c r="K86" s="17"/>
    </row>
    <row r="87" spans="1:11" x14ac:dyDescent="0.25">
      <c r="A87" s="57">
        <f t="shared" si="7"/>
        <v>85</v>
      </c>
      <c r="B87" s="19"/>
      <c r="C87" s="49"/>
      <c r="D87" s="50"/>
      <c r="E87" s="17"/>
      <c r="F87" s="17"/>
      <c r="G87" s="17"/>
      <c r="H87" s="17"/>
      <c r="I87" s="17"/>
      <c r="J87" s="17"/>
      <c r="K87" s="17"/>
    </row>
    <row r="88" spans="1:11" x14ac:dyDescent="0.25">
      <c r="A88" s="57">
        <f t="shared" si="7"/>
        <v>86</v>
      </c>
      <c r="B88" s="19"/>
      <c r="C88" s="49"/>
      <c r="D88" s="50"/>
      <c r="E88" s="17"/>
      <c r="F88" s="17"/>
      <c r="G88" s="17"/>
      <c r="H88" s="17"/>
      <c r="I88" s="17"/>
      <c r="J88" s="17"/>
      <c r="K88" s="17"/>
    </row>
  </sheetData>
  <mergeCells count="1">
    <mergeCell ref="A1:K1"/>
  </mergeCells>
  <dataValidations count="3">
    <dataValidation type="list" allowBlank="1" showInputMessage="1" showErrorMessage="1" sqref="E2:E1048576" xr:uid="{BADDDE60-29AB-4607-9F60-73EDA9E74FA7}">
      <formula1>" Proceso Completo,Samples, Preparado, Sealer, Lijado Sealer,Pintura Back,Pintura Front,Rieles/Cajones,Figurar puertas/tapas,Instalacion puertas/tapas,Envolver, Delivery"</formula1>
    </dataValidation>
    <dataValidation type="list" allowBlank="1" showInputMessage="1" showErrorMessage="1" sqref="J2:J1048576" xr:uid="{8100D6B1-DF7C-4A64-A4C4-31220254611C}">
      <formula1>"Marco,Carlos,Will"</formula1>
    </dataValidation>
    <dataValidation type="list" allowBlank="1" showInputMessage="1" showErrorMessage="1" sqref="F2:F1048576" xr:uid="{D20EC33C-4FC7-4031-8297-8D8E149B0350}">
      <formula1>"Gabinetes, Puertas/Tapas,Fillers,Samples,Correccion, Molding, Toe kick, Shelfs, Especial"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97AD7F-3590-4FB2-8CEC-1AAC0DDA2A0F}">
          <x14:formula1>
            <xm:f>'RAW DATA PROYECTS'!$A:$A</xm:f>
          </x14:formula1>
          <xm:sqref>G2:G1048576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zoomScale="94" zoomScaleNormal="115" workbookViewId="0">
      <pane xSplit="1" ySplit="2" topLeftCell="B47" activePane="bottomRight" state="frozen"/>
      <selection pane="topRight" activeCell="B1" sqref="B1"/>
      <selection pane="bottomLeft" activeCell="A2" sqref="A2"/>
      <selection pane="bottomRight" activeCell="N27" sqref="N27"/>
    </sheetView>
  </sheetViews>
  <sheetFormatPr baseColWidth="10" defaultColWidth="8.88671875" defaultRowHeight="13.8" x14ac:dyDescent="0.25"/>
  <cols>
    <col min="1" max="1" width="15.44140625" style="14" bestFit="1" customWidth="1"/>
    <col min="2" max="2" width="5.33203125" style="14" customWidth="1"/>
    <col min="3" max="3" width="21.5546875" style="14" customWidth="1"/>
    <col min="4" max="4" width="21.88671875" style="14" customWidth="1"/>
    <col min="5" max="5" width="13.44140625" style="14" customWidth="1"/>
    <col min="6" max="6" width="14.44140625" style="14" customWidth="1"/>
    <col min="7" max="7" width="21.44140625" style="14" bestFit="1" customWidth="1"/>
    <col min="8" max="9" width="19.77734375" style="14" bestFit="1" customWidth="1"/>
    <col min="10" max="10" width="22.44140625" style="14" bestFit="1" customWidth="1"/>
    <col min="11" max="11" width="12.6640625" style="14" bestFit="1" customWidth="1"/>
    <col min="12" max="12" width="16" style="14" customWidth="1"/>
    <col min="13" max="14" width="19" style="14" customWidth="1"/>
    <col min="15" max="15" width="10.77734375" style="14" customWidth="1"/>
    <col min="16" max="16384" width="8.88671875" style="14"/>
  </cols>
  <sheetData>
    <row r="1" spans="1:15" ht="29.4" customHeight="1" x14ac:dyDescent="0.25">
      <c r="A1" s="100" t="s">
        <v>408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69" customFormat="1" ht="15.6" x14ac:dyDescent="0.3">
      <c r="A2" s="70" t="s">
        <v>1</v>
      </c>
      <c r="B2" s="70" t="s">
        <v>221</v>
      </c>
      <c r="C2" s="70" t="s">
        <v>65</v>
      </c>
      <c r="D2" s="70" t="s">
        <v>67</v>
      </c>
      <c r="E2" s="70" t="s">
        <v>62</v>
      </c>
      <c r="F2" s="70" t="s">
        <v>2</v>
      </c>
      <c r="G2" s="70" t="s">
        <v>61</v>
      </c>
      <c r="H2" s="70" t="s">
        <v>63</v>
      </c>
      <c r="I2" s="70" t="s">
        <v>103</v>
      </c>
      <c r="J2" s="70" t="s">
        <v>105</v>
      </c>
      <c r="K2" s="70" t="s">
        <v>106</v>
      </c>
      <c r="L2" s="70" t="s">
        <v>0</v>
      </c>
      <c r="M2" s="70" t="s">
        <v>282</v>
      </c>
      <c r="N2" s="70" t="s">
        <v>411</v>
      </c>
      <c r="O2" s="70" t="s">
        <v>3</v>
      </c>
    </row>
    <row r="3" spans="1:15" x14ac:dyDescent="0.25">
      <c r="A3" s="66" t="s">
        <v>64</v>
      </c>
      <c r="B3" s="66">
        <v>1</v>
      </c>
      <c r="C3" s="66" t="s">
        <v>66</v>
      </c>
      <c r="D3" s="66" t="s">
        <v>4</v>
      </c>
      <c r="E3" s="66" t="s">
        <v>68</v>
      </c>
      <c r="F3" s="66" t="s">
        <v>70</v>
      </c>
      <c r="G3" s="66" t="s">
        <v>69</v>
      </c>
      <c r="H3" s="66" t="s">
        <v>196</v>
      </c>
      <c r="I3" s="66"/>
      <c r="J3" s="66"/>
      <c r="K3" s="66"/>
      <c r="L3" s="66"/>
      <c r="M3" s="66"/>
      <c r="N3" s="66" t="s">
        <v>412</v>
      </c>
      <c r="O3" s="66"/>
    </row>
    <row r="4" spans="1:15" x14ac:dyDescent="0.25">
      <c r="A4" s="18" t="s">
        <v>201</v>
      </c>
      <c r="B4" s="18">
        <v>2</v>
      </c>
      <c r="C4" s="18" t="s">
        <v>140</v>
      </c>
      <c r="D4" s="18" t="s">
        <v>4</v>
      </c>
      <c r="E4" s="18" t="s">
        <v>68</v>
      </c>
      <c r="F4" s="18" t="s">
        <v>70</v>
      </c>
      <c r="G4" s="18" t="s">
        <v>202</v>
      </c>
      <c r="H4" s="18" t="s">
        <v>203</v>
      </c>
      <c r="I4" s="18"/>
      <c r="J4" s="18"/>
      <c r="K4" s="18"/>
      <c r="L4" s="18"/>
      <c r="M4" s="18"/>
      <c r="N4" s="66" t="s">
        <v>412</v>
      </c>
      <c r="O4" s="18"/>
    </row>
    <row r="5" spans="1:15" x14ac:dyDescent="0.25">
      <c r="A5" s="18"/>
      <c r="B5" s="18">
        <v>3</v>
      </c>
      <c r="C5" s="18"/>
      <c r="D5" s="18" t="s">
        <v>4</v>
      </c>
      <c r="E5" s="18" t="s">
        <v>68</v>
      </c>
      <c r="F5" s="18" t="s">
        <v>70</v>
      </c>
      <c r="G5" s="18" t="s">
        <v>209</v>
      </c>
      <c r="H5" s="18" t="s">
        <v>213</v>
      </c>
      <c r="I5" s="18"/>
      <c r="J5" s="18"/>
      <c r="K5" s="18"/>
      <c r="L5" s="18"/>
      <c r="M5" s="18"/>
      <c r="N5" s="66" t="s">
        <v>412</v>
      </c>
      <c r="O5" s="18"/>
    </row>
    <row r="6" spans="1:15" x14ac:dyDescent="0.25">
      <c r="A6" s="18" t="s">
        <v>208</v>
      </c>
      <c r="B6" s="18">
        <v>4</v>
      </c>
      <c r="C6" s="18"/>
      <c r="D6" s="18" t="s">
        <v>4</v>
      </c>
      <c r="E6" s="18" t="s">
        <v>68</v>
      </c>
      <c r="F6" s="18" t="s">
        <v>70</v>
      </c>
      <c r="G6" s="18" t="s">
        <v>210</v>
      </c>
      <c r="H6" s="18" t="s">
        <v>214</v>
      </c>
      <c r="I6" s="18"/>
      <c r="J6" s="18"/>
      <c r="K6" s="18"/>
      <c r="L6" s="18"/>
      <c r="M6" s="18"/>
      <c r="N6" s="66" t="s">
        <v>412</v>
      </c>
      <c r="O6" s="18"/>
    </row>
    <row r="7" spans="1:15" x14ac:dyDescent="0.25">
      <c r="A7" s="18"/>
      <c r="B7" s="66">
        <v>5</v>
      </c>
      <c r="C7" s="18"/>
      <c r="D7" s="18" t="s">
        <v>4</v>
      </c>
      <c r="E7" s="18" t="s">
        <v>68</v>
      </c>
      <c r="F7" s="18" t="s">
        <v>70</v>
      </c>
      <c r="G7" s="18" t="s">
        <v>211</v>
      </c>
      <c r="H7" s="18" t="s">
        <v>215</v>
      </c>
      <c r="I7" s="18"/>
      <c r="J7" s="18"/>
      <c r="K7" s="18"/>
      <c r="L7" s="18"/>
      <c r="M7" s="18"/>
      <c r="N7" s="66" t="s">
        <v>412</v>
      </c>
      <c r="O7" s="18"/>
    </row>
    <row r="8" spans="1:15" x14ac:dyDescent="0.25">
      <c r="A8" s="18"/>
      <c r="B8" s="18">
        <v>6</v>
      </c>
      <c r="C8" s="18"/>
      <c r="D8" s="18" t="s">
        <v>4</v>
      </c>
      <c r="E8" s="18" t="s">
        <v>68</v>
      </c>
      <c r="F8" s="18" t="s">
        <v>70</v>
      </c>
      <c r="G8" s="18" t="s">
        <v>212</v>
      </c>
      <c r="H8" s="18" t="s">
        <v>216</v>
      </c>
      <c r="I8" s="18"/>
      <c r="J8" s="18"/>
      <c r="K8" s="18"/>
      <c r="L8" s="18"/>
      <c r="M8" s="18"/>
      <c r="N8" s="66" t="s">
        <v>412</v>
      </c>
      <c r="O8" s="18"/>
    </row>
    <row r="9" spans="1:15" x14ac:dyDescent="0.25">
      <c r="A9" s="18" t="s">
        <v>206</v>
      </c>
      <c r="B9" s="18">
        <v>7</v>
      </c>
      <c r="C9" s="18"/>
      <c r="D9" s="18" t="s">
        <v>4</v>
      </c>
      <c r="E9" s="18" t="s">
        <v>68</v>
      </c>
      <c r="F9" s="18" t="s">
        <v>70</v>
      </c>
      <c r="G9" s="18" t="s">
        <v>12</v>
      </c>
      <c r="H9" s="18" t="s">
        <v>207</v>
      </c>
      <c r="I9" s="18"/>
      <c r="J9" s="18"/>
      <c r="K9" s="18"/>
      <c r="L9" s="18"/>
      <c r="M9" s="18"/>
      <c r="N9" s="66" t="s">
        <v>412</v>
      </c>
      <c r="O9" s="18"/>
    </row>
    <row r="10" spans="1:15" x14ac:dyDescent="0.25">
      <c r="A10" s="18" t="s">
        <v>124</v>
      </c>
      <c r="B10" s="18">
        <v>8</v>
      </c>
      <c r="C10" s="18"/>
      <c r="D10" s="18" t="s">
        <v>4</v>
      </c>
      <c r="E10" s="18" t="s">
        <v>68</v>
      </c>
      <c r="F10" s="18" t="s">
        <v>70</v>
      </c>
      <c r="G10" s="18" t="s">
        <v>125</v>
      </c>
      <c r="H10" s="18" t="s">
        <v>205</v>
      </c>
      <c r="I10" s="18"/>
      <c r="J10" s="18"/>
      <c r="K10" s="18"/>
      <c r="L10" s="18"/>
      <c r="M10" s="18"/>
      <c r="N10" s="66" t="s">
        <v>412</v>
      </c>
      <c r="O10" s="18"/>
    </row>
    <row r="11" spans="1:15" x14ac:dyDescent="0.25">
      <c r="A11" s="18" t="s">
        <v>98</v>
      </c>
      <c r="B11" s="66">
        <v>9</v>
      </c>
      <c r="C11" s="18"/>
      <c r="D11" s="18" t="s">
        <v>4</v>
      </c>
      <c r="E11" s="18" t="s">
        <v>68</v>
      </c>
      <c r="F11" s="18" t="s">
        <v>70</v>
      </c>
      <c r="G11" s="18" t="s">
        <v>198</v>
      </c>
      <c r="H11" s="18" t="s">
        <v>199</v>
      </c>
      <c r="I11" s="18"/>
      <c r="J11" s="18"/>
      <c r="K11" s="18"/>
      <c r="L11" s="62"/>
      <c r="M11" s="62"/>
      <c r="N11" s="66" t="s">
        <v>412</v>
      </c>
      <c r="O11" s="18"/>
    </row>
    <row r="12" spans="1:15" x14ac:dyDescent="0.25">
      <c r="A12" s="18" t="s">
        <v>71</v>
      </c>
      <c r="B12" s="18">
        <v>10</v>
      </c>
      <c r="C12" s="18"/>
      <c r="D12" s="18" t="s">
        <v>4</v>
      </c>
      <c r="E12" s="18" t="s">
        <v>68</v>
      </c>
      <c r="F12" s="18" t="s">
        <v>70</v>
      </c>
      <c r="G12" s="18" t="s">
        <v>72</v>
      </c>
      <c r="H12" s="18" t="s">
        <v>197</v>
      </c>
      <c r="I12" s="18"/>
      <c r="J12" s="18"/>
      <c r="K12" s="18"/>
      <c r="L12" s="62"/>
      <c r="M12" s="62"/>
      <c r="N12" s="66" t="s">
        <v>412</v>
      </c>
      <c r="O12" s="18"/>
    </row>
    <row r="13" spans="1:15" x14ac:dyDescent="0.25">
      <c r="A13" s="18" t="s">
        <v>73</v>
      </c>
      <c r="B13" s="18">
        <v>11</v>
      </c>
      <c r="C13" s="18" t="s">
        <v>140</v>
      </c>
      <c r="D13" s="18" t="s">
        <v>4</v>
      </c>
      <c r="E13" s="18" t="s">
        <v>68</v>
      </c>
      <c r="F13" s="18" t="s">
        <v>70</v>
      </c>
      <c r="G13" s="18" t="s">
        <v>80</v>
      </c>
      <c r="H13" s="18" t="s">
        <v>195</v>
      </c>
      <c r="I13" s="18"/>
      <c r="J13" s="18"/>
      <c r="K13" s="18"/>
      <c r="L13" s="62"/>
      <c r="M13" s="62"/>
      <c r="N13" s="66" t="s">
        <v>412</v>
      </c>
      <c r="O13" s="18"/>
    </row>
    <row r="14" spans="1:15" x14ac:dyDescent="0.25">
      <c r="A14" s="18" t="s">
        <v>73</v>
      </c>
      <c r="B14" s="18">
        <v>12</v>
      </c>
      <c r="C14" s="18" t="s">
        <v>413</v>
      </c>
      <c r="D14" s="18" t="s">
        <v>4</v>
      </c>
      <c r="E14" s="18" t="s">
        <v>68</v>
      </c>
      <c r="F14" s="18" t="s">
        <v>70</v>
      </c>
      <c r="G14" s="18" t="s">
        <v>80</v>
      </c>
      <c r="H14" s="18" t="s">
        <v>195</v>
      </c>
      <c r="I14" s="18"/>
      <c r="J14" s="18"/>
      <c r="K14" s="18"/>
      <c r="L14" s="62"/>
      <c r="M14" s="62"/>
      <c r="N14" s="66" t="s">
        <v>412</v>
      </c>
      <c r="O14" s="18"/>
    </row>
    <row r="15" spans="1:15" x14ac:dyDescent="0.25">
      <c r="A15" s="18" t="s">
        <v>75</v>
      </c>
      <c r="B15" s="66">
        <v>13</v>
      </c>
      <c r="C15" s="18"/>
      <c r="D15" s="18" t="s">
        <v>4</v>
      </c>
      <c r="E15" s="18" t="s">
        <v>68</v>
      </c>
      <c r="F15" s="18" t="s">
        <v>76</v>
      </c>
      <c r="G15" s="18" t="s">
        <v>12</v>
      </c>
      <c r="H15" s="18"/>
      <c r="I15" s="18"/>
      <c r="J15" s="18"/>
      <c r="K15" s="18"/>
      <c r="L15" s="62"/>
      <c r="M15" s="62"/>
      <c r="N15" s="66" t="s">
        <v>412</v>
      </c>
      <c r="O15" s="18"/>
    </row>
    <row r="16" spans="1:15" x14ac:dyDescent="0.25">
      <c r="A16" s="18" t="s">
        <v>77</v>
      </c>
      <c r="B16" s="18">
        <v>14</v>
      </c>
      <c r="C16" s="18"/>
      <c r="D16" s="18" t="s">
        <v>4</v>
      </c>
      <c r="E16" s="18" t="s">
        <v>68</v>
      </c>
      <c r="F16" s="18" t="s">
        <v>76</v>
      </c>
      <c r="G16" s="18" t="s">
        <v>12</v>
      </c>
      <c r="H16" s="18"/>
      <c r="I16" s="18"/>
      <c r="J16" s="18"/>
      <c r="K16" s="18"/>
      <c r="L16" s="62"/>
      <c r="M16" s="62"/>
      <c r="N16" s="66" t="s">
        <v>412</v>
      </c>
      <c r="O16" s="18"/>
    </row>
    <row r="17" spans="1:15" x14ac:dyDescent="0.25">
      <c r="A17" s="18" t="s">
        <v>78</v>
      </c>
      <c r="B17" s="18">
        <v>15</v>
      </c>
      <c r="C17" s="18"/>
      <c r="D17" s="18" t="s">
        <v>4</v>
      </c>
      <c r="E17" s="18" t="s">
        <v>68</v>
      </c>
      <c r="F17" s="18" t="s">
        <v>76</v>
      </c>
      <c r="G17" s="18" t="s">
        <v>12</v>
      </c>
      <c r="H17" s="18"/>
      <c r="I17" s="18"/>
      <c r="J17" s="18"/>
      <c r="K17" s="18"/>
      <c r="L17" s="62"/>
      <c r="M17" s="62"/>
      <c r="N17" s="66" t="s">
        <v>412</v>
      </c>
      <c r="O17" s="18"/>
    </row>
    <row r="18" spans="1:15" x14ac:dyDescent="0.25">
      <c r="A18" s="18" t="s">
        <v>79</v>
      </c>
      <c r="B18" s="18">
        <v>16</v>
      </c>
      <c r="C18" s="18"/>
      <c r="D18" s="18" t="s">
        <v>4</v>
      </c>
      <c r="E18" s="18" t="s">
        <v>68</v>
      </c>
      <c r="F18" s="18" t="s">
        <v>70</v>
      </c>
      <c r="G18" s="18" t="s">
        <v>80</v>
      </c>
      <c r="H18" s="18"/>
      <c r="I18" s="18"/>
      <c r="J18" s="18"/>
      <c r="K18" s="18"/>
      <c r="L18" s="62"/>
      <c r="M18" s="62"/>
      <c r="N18" s="66" t="s">
        <v>412</v>
      </c>
      <c r="O18" s="18"/>
    </row>
    <row r="19" spans="1:15" x14ac:dyDescent="0.25">
      <c r="A19" s="18" t="s">
        <v>82</v>
      </c>
      <c r="B19" s="66">
        <v>17</v>
      </c>
      <c r="C19" s="18"/>
      <c r="D19" s="18" t="s">
        <v>4</v>
      </c>
      <c r="E19" s="18" t="s">
        <v>86</v>
      </c>
      <c r="F19" s="18" t="s">
        <v>70</v>
      </c>
      <c r="G19" s="18" t="s">
        <v>87</v>
      </c>
      <c r="H19" s="18"/>
      <c r="I19" s="18"/>
      <c r="J19" s="18"/>
      <c r="K19" s="18"/>
      <c r="L19" s="62"/>
      <c r="M19" s="62"/>
      <c r="N19" s="66" t="s">
        <v>412</v>
      </c>
      <c r="O19" s="18"/>
    </row>
    <row r="20" spans="1:15" x14ac:dyDescent="0.25">
      <c r="A20" s="18" t="s">
        <v>82</v>
      </c>
      <c r="B20" s="18">
        <v>18</v>
      </c>
      <c r="C20" s="18"/>
      <c r="D20" s="18" t="s">
        <v>4</v>
      </c>
      <c r="E20" s="18" t="s">
        <v>68</v>
      </c>
      <c r="F20" s="18" t="s">
        <v>70</v>
      </c>
      <c r="G20" s="18" t="s">
        <v>88</v>
      </c>
      <c r="H20" s="18" t="s">
        <v>200</v>
      </c>
      <c r="I20" s="18"/>
      <c r="J20" s="18"/>
      <c r="K20" s="18"/>
      <c r="L20" s="62"/>
      <c r="M20" s="62"/>
      <c r="N20" s="66" t="s">
        <v>412</v>
      </c>
      <c r="O20" s="18"/>
    </row>
    <row r="21" spans="1:15" x14ac:dyDescent="0.25">
      <c r="A21" s="18" t="s">
        <v>83</v>
      </c>
      <c r="B21" s="18">
        <v>19</v>
      </c>
      <c r="C21" s="18"/>
      <c r="D21" s="18" t="s">
        <v>4</v>
      </c>
      <c r="E21" s="18" t="s">
        <v>86</v>
      </c>
      <c r="F21" s="18" t="s">
        <v>89</v>
      </c>
      <c r="G21" s="18" t="s">
        <v>90</v>
      </c>
      <c r="H21" s="18"/>
      <c r="I21" s="18"/>
      <c r="J21" s="18"/>
      <c r="K21" s="18"/>
      <c r="L21" s="62"/>
      <c r="M21" s="62"/>
      <c r="N21" s="66" t="s">
        <v>412</v>
      </c>
      <c r="O21" s="18"/>
    </row>
    <row r="22" spans="1:15" x14ac:dyDescent="0.25">
      <c r="A22" s="18" t="s">
        <v>84</v>
      </c>
      <c r="B22" s="18">
        <v>20</v>
      </c>
      <c r="C22" s="18"/>
      <c r="D22" s="18" t="s">
        <v>4</v>
      </c>
      <c r="E22" s="18" t="s">
        <v>68</v>
      </c>
      <c r="F22" s="18" t="s">
        <v>70</v>
      </c>
      <c r="G22" s="18" t="s">
        <v>80</v>
      </c>
      <c r="H22" s="18" t="s">
        <v>193</v>
      </c>
      <c r="I22" s="18"/>
      <c r="J22" s="18"/>
      <c r="K22" s="18"/>
      <c r="L22" s="62"/>
      <c r="M22" s="62"/>
      <c r="N22" s="66" t="s">
        <v>412</v>
      </c>
      <c r="O22" s="18"/>
    </row>
    <row r="23" spans="1:15" x14ac:dyDescent="0.25">
      <c r="A23" s="18" t="s">
        <v>85</v>
      </c>
      <c r="B23" s="66">
        <v>21</v>
      </c>
      <c r="C23" s="18"/>
      <c r="D23" s="18" t="s">
        <v>4</v>
      </c>
      <c r="E23" s="18" t="s">
        <v>68</v>
      </c>
      <c r="F23" s="18" t="s">
        <v>89</v>
      </c>
      <c r="G23" s="18" t="s">
        <v>92</v>
      </c>
      <c r="H23" s="18"/>
      <c r="I23" s="18"/>
      <c r="J23" s="18"/>
      <c r="K23" s="18"/>
      <c r="L23" s="62"/>
      <c r="M23" s="62"/>
      <c r="N23" s="66" t="s">
        <v>412</v>
      </c>
      <c r="O23" s="18"/>
    </row>
    <row r="24" spans="1:15" x14ac:dyDescent="0.25">
      <c r="A24" s="18" t="s">
        <v>93</v>
      </c>
      <c r="B24" s="18">
        <v>22</v>
      </c>
      <c r="C24" s="18"/>
      <c r="D24" s="18" t="s">
        <v>4</v>
      </c>
      <c r="E24" s="18" t="s">
        <v>68</v>
      </c>
      <c r="F24" s="18" t="s">
        <v>76</v>
      </c>
      <c r="G24" s="18" t="s">
        <v>94</v>
      </c>
      <c r="H24" s="18" t="s">
        <v>95</v>
      </c>
      <c r="I24" s="18"/>
      <c r="J24" s="18"/>
      <c r="K24" s="18"/>
      <c r="L24" s="62"/>
      <c r="M24" s="62"/>
      <c r="N24" s="66" t="s">
        <v>412</v>
      </c>
      <c r="O24" s="18"/>
    </row>
    <row r="25" spans="1:15" x14ac:dyDescent="0.25">
      <c r="A25" s="18" t="s">
        <v>96</v>
      </c>
      <c r="B25" s="18">
        <v>23</v>
      </c>
      <c r="C25" s="18"/>
      <c r="D25" s="18" t="s">
        <v>4</v>
      </c>
      <c r="E25" s="18" t="s">
        <v>97</v>
      </c>
      <c r="F25" s="18" t="s">
        <v>70</v>
      </c>
      <c r="G25" s="18" t="s">
        <v>87</v>
      </c>
      <c r="H25" s="18"/>
      <c r="I25" s="63" t="s">
        <v>107</v>
      </c>
      <c r="J25" s="63" t="s">
        <v>108</v>
      </c>
      <c r="L25" s="62"/>
      <c r="M25" s="62"/>
      <c r="N25" s="66" t="s">
        <v>412</v>
      </c>
      <c r="O25" s="18"/>
    </row>
    <row r="26" spans="1:15" x14ac:dyDescent="0.25">
      <c r="A26" s="18" t="s">
        <v>98</v>
      </c>
      <c r="B26" s="18">
        <v>24</v>
      </c>
      <c r="C26" s="18"/>
      <c r="D26" s="18" t="s">
        <v>4</v>
      </c>
      <c r="E26" s="18" t="s">
        <v>68</v>
      </c>
      <c r="F26" s="18" t="s">
        <v>70</v>
      </c>
      <c r="G26" s="18" t="s">
        <v>12</v>
      </c>
      <c r="H26" s="18"/>
      <c r="I26" s="18"/>
      <c r="J26" s="18"/>
      <c r="K26" s="18"/>
      <c r="L26" s="62"/>
      <c r="M26" s="62"/>
      <c r="N26" s="66" t="s">
        <v>412</v>
      </c>
      <c r="O26" s="18"/>
    </row>
    <row r="27" spans="1:15" x14ac:dyDescent="0.25">
      <c r="A27" s="18" t="s">
        <v>84</v>
      </c>
      <c r="B27" s="66">
        <v>25</v>
      </c>
      <c r="C27" s="18"/>
      <c r="D27" s="18" t="s">
        <v>4</v>
      </c>
      <c r="E27" s="18" t="s">
        <v>86</v>
      </c>
      <c r="F27" s="18" t="s">
        <v>70</v>
      </c>
      <c r="G27" s="18" t="s">
        <v>87</v>
      </c>
      <c r="H27" s="18"/>
      <c r="I27" s="18" t="s">
        <v>109</v>
      </c>
      <c r="J27" s="18" t="s">
        <v>110</v>
      </c>
      <c r="K27" s="18"/>
      <c r="L27" s="62"/>
      <c r="M27" s="62"/>
      <c r="N27" s="66" t="s">
        <v>412</v>
      </c>
      <c r="O27" s="18"/>
    </row>
    <row r="28" spans="1:15" x14ac:dyDescent="0.25">
      <c r="A28" s="18" t="s">
        <v>99</v>
      </c>
      <c r="B28" s="18">
        <v>26</v>
      </c>
      <c r="C28" s="18"/>
      <c r="D28" s="18" t="s">
        <v>4</v>
      </c>
      <c r="E28" s="18" t="s">
        <v>102</v>
      </c>
      <c r="F28" s="18" t="s">
        <v>70</v>
      </c>
      <c r="G28" s="18" t="s">
        <v>87</v>
      </c>
      <c r="H28" s="18"/>
      <c r="I28" s="18" t="s">
        <v>117</v>
      </c>
      <c r="J28" s="18" t="s">
        <v>111</v>
      </c>
      <c r="K28" s="18" t="s">
        <v>112</v>
      </c>
      <c r="L28" s="62"/>
      <c r="M28" s="62"/>
      <c r="N28" s="66" t="s">
        <v>412</v>
      </c>
      <c r="O28" s="18"/>
    </row>
    <row r="29" spans="1:15" x14ac:dyDescent="0.25">
      <c r="A29" s="18" t="s">
        <v>99</v>
      </c>
      <c r="B29" s="18">
        <v>27</v>
      </c>
      <c r="C29" s="18"/>
      <c r="D29" s="18" t="s">
        <v>4</v>
      </c>
      <c r="E29" s="18" t="s">
        <v>68</v>
      </c>
      <c r="F29" s="18" t="s">
        <v>70</v>
      </c>
      <c r="G29" s="18" t="s">
        <v>100</v>
      </c>
      <c r="H29" s="18" t="s">
        <v>101</v>
      </c>
      <c r="I29" s="18"/>
      <c r="J29" s="18"/>
      <c r="K29" s="18"/>
      <c r="L29" s="62"/>
      <c r="M29" s="62"/>
      <c r="N29" s="66" t="s">
        <v>412</v>
      </c>
      <c r="O29" s="18"/>
    </row>
    <row r="30" spans="1:15" x14ac:dyDescent="0.25">
      <c r="A30" s="18" t="s">
        <v>113</v>
      </c>
      <c r="B30" s="18">
        <v>28</v>
      </c>
      <c r="C30" s="18"/>
      <c r="D30" s="18" t="s">
        <v>4</v>
      </c>
      <c r="E30" s="18" t="s">
        <v>68</v>
      </c>
      <c r="F30" s="18" t="s">
        <v>70</v>
      </c>
      <c r="G30" s="18" t="s">
        <v>114</v>
      </c>
      <c r="H30" s="18"/>
      <c r="I30" s="18"/>
      <c r="J30" s="18"/>
      <c r="K30" s="18"/>
      <c r="L30" s="62"/>
      <c r="M30" s="62"/>
      <c r="N30" s="66" t="s">
        <v>412</v>
      </c>
      <c r="O30" s="18"/>
    </row>
    <row r="31" spans="1:15" x14ac:dyDescent="0.25">
      <c r="A31" s="18" t="s">
        <v>115</v>
      </c>
      <c r="B31" s="66">
        <v>29</v>
      </c>
      <c r="C31" s="18"/>
      <c r="D31" s="18" t="s">
        <v>4</v>
      </c>
      <c r="E31" s="18" t="s">
        <v>68</v>
      </c>
      <c r="F31" s="18" t="s">
        <v>70</v>
      </c>
      <c r="G31" s="18" t="s">
        <v>116</v>
      </c>
      <c r="H31" s="18" t="s">
        <v>204</v>
      </c>
      <c r="I31" s="18"/>
      <c r="J31" s="18"/>
      <c r="K31" s="18"/>
      <c r="L31" s="62"/>
      <c r="M31" s="62"/>
      <c r="N31" s="66" t="s">
        <v>412</v>
      </c>
      <c r="O31" s="18"/>
    </row>
    <row r="32" spans="1:15" x14ac:dyDescent="0.25">
      <c r="A32" s="18" t="s">
        <v>118</v>
      </c>
      <c r="B32" s="18">
        <v>30</v>
      </c>
      <c r="C32" s="18"/>
      <c r="D32" s="18" t="s">
        <v>4</v>
      </c>
      <c r="E32" s="18" t="s">
        <v>68</v>
      </c>
      <c r="F32" s="18" t="s">
        <v>70</v>
      </c>
      <c r="G32" s="18" t="s">
        <v>69</v>
      </c>
      <c r="H32" s="18"/>
      <c r="I32" s="18"/>
      <c r="J32" s="18"/>
      <c r="K32" s="18"/>
      <c r="L32" s="62"/>
      <c r="M32" s="62"/>
      <c r="N32" s="66" t="s">
        <v>412</v>
      </c>
      <c r="O32" s="18"/>
    </row>
    <row r="33" spans="1:15" x14ac:dyDescent="0.25">
      <c r="A33" s="18" t="s">
        <v>118</v>
      </c>
      <c r="B33" s="18">
        <v>31</v>
      </c>
      <c r="C33" s="18"/>
      <c r="D33" s="18" t="s">
        <v>4</v>
      </c>
      <c r="E33" s="18" t="s">
        <v>119</v>
      </c>
      <c r="F33" s="18" t="s">
        <v>70</v>
      </c>
      <c r="G33" s="18" t="s">
        <v>120</v>
      </c>
      <c r="H33" s="18"/>
      <c r="I33" s="18" t="s">
        <v>123</v>
      </c>
      <c r="J33" s="18" t="s">
        <v>121</v>
      </c>
      <c r="K33" s="18" t="s">
        <v>122</v>
      </c>
      <c r="L33" s="62"/>
      <c r="M33" s="62"/>
      <c r="N33" s="66" t="s">
        <v>412</v>
      </c>
      <c r="O33" s="18"/>
    </row>
    <row r="34" spans="1:15" x14ac:dyDescent="0.25">
      <c r="A34" s="18" t="s">
        <v>124</v>
      </c>
      <c r="B34" s="18">
        <v>32</v>
      </c>
      <c r="C34" s="18"/>
      <c r="D34" s="18" t="s">
        <v>4</v>
      </c>
      <c r="E34" s="18" t="s">
        <v>68</v>
      </c>
      <c r="F34" s="18" t="s">
        <v>70</v>
      </c>
      <c r="G34" s="18" t="s">
        <v>125</v>
      </c>
      <c r="H34" s="18" t="s">
        <v>126</v>
      </c>
      <c r="I34" s="18"/>
      <c r="J34" s="18"/>
      <c r="K34" s="18"/>
      <c r="L34" s="62"/>
      <c r="M34" s="62"/>
      <c r="N34" s="66" t="s">
        <v>412</v>
      </c>
      <c r="O34" s="18"/>
    </row>
    <row r="35" spans="1:15" x14ac:dyDescent="0.25">
      <c r="A35" s="18" t="s">
        <v>127</v>
      </c>
      <c r="B35" s="66">
        <v>33</v>
      </c>
      <c r="C35" s="18"/>
      <c r="D35" s="18" t="s">
        <v>4</v>
      </c>
      <c r="E35" s="18" t="s">
        <v>68</v>
      </c>
      <c r="F35" s="18" t="s">
        <v>70</v>
      </c>
      <c r="G35" s="18" t="s">
        <v>128</v>
      </c>
      <c r="H35" s="18" t="s">
        <v>129</v>
      </c>
      <c r="I35" s="18"/>
      <c r="J35" s="18"/>
      <c r="K35" s="18"/>
      <c r="L35" s="62"/>
      <c r="M35" s="62"/>
      <c r="N35" s="66" t="s">
        <v>412</v>
      </c>
      <c r="O35" s="18"/>
    </row>
    <row r="36" spans="1:15" x14ac:dyDescent="0.25">
      <c r="A36" s="18" t="s">
        <v>127</v>
      </c>
      <c r="B36" s="18">
        <v>34</v>
      </c>
      <c r="C36" s="18"/>
      <c r="D36" s="18" t="s">
        <v>4</v>
      </c>
      <c r="E36" s="18" t="s">
        <v>97</v>
      </c>
      <c r="F36" s="18" t="s">
        <v>70</v>
      </c>
      <c r="G36" s="18" t="s">
        <v>120</v>
      </c>
      <c r="H36" s="18"/>
      <c r="I36" s="18" t="s">
        <v>104</v>
      </c>
      <c r="J36" s="18" t="s">
        <v>131</v>
      </c>
      <c r="K36" s="18" t="s">
        <v>132</v>
      </c>
      <c r="L36" s="62"/>
      <c r="M36" s="62"/>
      <c r="N36" s="66" t="s">
        <v>412</v>
      </c>
      <c r="O36" s="18"/>
    </row>
    <row r="37" spans="1:15" x14ac:dyDescent="0.25">
      <c r="A37" s="18" t="s">
        <v>133</v>
      </c>
      <c r="B37" s="18">
        <v>35</v>
      </c>
      <c r="C37" s="18"/>
      <c r="D37" s="18" t="s">
        <v>4</v>
      </c>
      <c r="E37" s="18" t="s">
        <v>68</v>
      </c>
      <c r="F37" s="18" t="s">
        <v>70</v>
      </c>
      <c r="G37" s="18" t="s">
        <v>69</v>
      </c>
      <c r="H37" s="18"/>
      <c r="I37" s="18"/>
      <c r="J37" s="18"/>
      <c r="K37" s="18"/>
      <c r="L37" s="62"/>
      <c r="M37" s="62"/>
      <c r="N37" s="66" t="s">
        <v>412</v>
      </c>
      <c r="O37" s="18"/>
    </row>
    <row r="38" spans="1:15" x14ac:dyDescent="0.25">
      <c r="A38" s="18" t="s">
        <v>82</v>
      </c>
      <c r="B38" s="18">
        <v>36</v>
      </c>
      <c r="C38" s="18"/>
      <c r="D38" s="18" t="s">
        <v>4</v>
      </c>
      <c r="E38" s="18" t="s">
        <v>68</v>
      </c>
      <c r="F38" s="18" t="s">
        <v>70</v>
      </c>
      <c r="G38" s="18" t="s">
        <v>134</v>
      </c>
      <c r="H38" s="18" t="s">
        <v>194</v>
      </c>
      <c r="I38" s="18"/>
      <c r="J38" s="18"/>
      <c r="K38" s="18"/>
      <c r="L38" s="62"/>
      <c r="M38" s="62"/>
      <c r="N38" s="66" t="s">
        <v>412</v>
      </c>
      <c r="O38" s="18"/>
    </row>
    <row r="39" spans="1:15" x14ac:dyDescent="0.25">
      <c r="A39" s="18" t="s">
        <v>127</v>
      </c>
      <c r="B39" s="66">
        <v>37</v>
      </c>
      <c r="C39" s="18"/>
      <c r="D39" s="18" t="s">
        <v>4</v>
      </c>
      <c r="E39" s="18" t="s">
        <v>97</v>
      </c>
      <c r="F39" s="18" t="s">
        <v>89</v>
      </c>
      <c r="G39" s="18" t="s">
        <v>135</v>
      </c>
      <c r="H39" s="18" t="s">
        <v>137</v>
      </c>
      <c r="I39" s="18"/>
      <c r="J39" s="18"/>
      <c r="K39" s="18"/>
      <c r="L39" s="62"/>
      <c r="M39" s="62"/>
      <c r="N39" s="66" t="s">
        <v>412</v>
      </c>
      <c r="O39" s="18"/>
    </row>
    <row r="40" spans="1:15" x14ac:dyDescent="0.25">
      <c r="A40" s="64" t="s">
        <v>136</v>
      </c>
      <c r="B40" s="18">
        <v>38</v>
      </c>
      <c r="C40" s="64"/>
      <c r="D40" s="64" t="s">
        <v>4</v>
      </c>
      <c r="E40" s="64" t="s">
        <v>86</v>
      </c>
      <c r="F40" s="64" t="s">
        <v>89</v>
      </c>
      <c r="G40" s="64" t="s">
        <v>135</v>
      </c>
      <c r="H40" s="64" t="s">
        <v>138</v>
      </c>
      <c r="I40" s="64"/>
      <c r="J40" s="64"/>
      <c r="K40" s="64"/>
      <c r="L40" s="65"/>
      <c r="M40" s="65"/>
      <c r="N40" s="66" t="s">
        <v>412</v>
      </c>
      <c r="O40" s="64"/>
    </row>
    <row r="41" spans="1:15" x14ac:dyDescent="0.25">
      <c r="A41" s="18" t="s">
        <v>139</v>
      </c>
      <c r="B41" s="18">
        <v>39</v>
      </c>
      <c r="C41" s="18" t="s">
        <v>140</v>
      </c>
      <c r="D41" s="18" t="s">
        <v>4</v>
      </c>
      <c r="E41" s="18" t="s">
        <v>68</v>
      </c>
      <c r="F41" s="18" t="s">
        <v>70</v>
      </c>
      <c r="G41" s="18" t="s">
        <v>69</v>
      </c>
      <c r="H41" s="18" t="s">
        <v>192</v>
      </c>
      <c r="I41" s="18"/>
      <c r="J41" s="18"/>
      <c r="K41" s="18"/>
      <c r="L41" s="62"/>
      <c r="M41" s="62"/>
      <c r="N41" s="66" t="s">
        <v>412</v>
      </c>
      <c r="O41" s="18"/>
    </row>
    <row r="42" spans="1:15" x14ac:dyDescent="0.25">
      <c r="A42" s="18" t="s">
        <v>139</v>
      </c>
      <c r="B42" s="18">
        <v>40</v>
      </c>
      <c r="C42" s="18" t="s">
        <v>140</v>
      </c>
      <c r="D42" s="18" t="s">
        <v>4</v>
      </c>
      <c r="E42" s="18" t="s">
        <v>144</v>
      </c>
      <c r="F42" s="18" t="s">
        <v>70</v>
      </c>
      <c r="G42" s="18" t="s">
        <v>120</v>
      </c>
      <c r="H42" s="18"/>
      <c r="I42" s="18" t="s">
        <v>104</v>
      </c>
      <c r="J42" s="18" t="s">
        <v>147</v>
      </c>
      <c r="K42" s="18">
        <v>11716</v>
      </c>
      <c r="L42" s="62"/>
      <c r="M42" s="62"/>
      <c r="N42" s="66" t="s">
        <v>412</v>
      </c>
      <c r="O42" s="18"/>
    </row>
    <row r="43" spans="1:15" x14ac:dyDescent="0.25">
      <c r="A43" s="18" t="s">
        <v>139</v>
      </c>
      <c r="B43" s="66">
        <v>41</v>
      </c>
      <c r="C43" s="18" t="s">
        <v>141</v>
      </c>
      <c r="D43" s="18" t="s">
        <v>4</v>
      </c>
      <c r="E43" s="18" t="s">
        <v>68</v>
      </c>
      <c r="F43" s="18" t="s">
        <v>70</v>
      </c>
      <c r="G43" s="18" t="s">
        <v>69</v>
      </c>
      <c r="H43" s="18" t="s">
        <v>192</v>
      </c>
      <c r="I43" s="18"/>
      <c r="J43" s="18"/>
      <c r="K43" s="18"/>
      <c r="L43" s="62"/>
      <c r="M43" s="62"/>
      <c r="N43" s="66" t="s">
        <v>412</v>
      </c>
      <c r="O43" s="18"/>
    </row>
    <row r="44" spans="1:15" x14ac:dyDescent="0.25">
      <c r="A44" s="18" t="s">
        <v>139</v>
      </c>
      <c r="B44" s="18">
        <v>42</v>
      </c>
      <c r="C44" s="18" t="s">
        <v>142</v>
      </c>
      <c r="D44" s="18" t="s">
        <v>4</v>
      </c>
      <c r="E44" s="18" t="s">
        <v>144</v>
      </c>
      <c r="F44" s="18" t="s">
        <v>70</v>
      </c>
      <c r="G44" s="18" t="s">
        <v>120</v>
      </c>
      <c r="H44" s="18"/>
      <c r="I44" s="18" t="s">
        <v>104</v>
      </c>
      <c r="J44" s="18" t="s">
        <v>147</v>
      </c>
      <c r="K44" s="18">
        <v>11716</v>
      </c>
      <c r="L44" s="62"/>
      <c r="M44" s="62"/>
      <c r="N44" s="66" t="s">
        <v>412</v>
      </c>
      <c r="O44" s="18"/>
    </row>
    <row r="45" spans="1:15" x14ac:dyDescent="0.25">
      <c r="A45" s="18" t="s">
        <v>139</v>
      </c>
      <c r="B45" s="18">
        <v>43</v>
      </c>
      <c r="C45" s="18" t="s">
        <v>143</v>
      </c>
      <c r="D45" s="18" t="s">
        <v>4</v>
      </c>
      <c r="E45" s="18" t="s">
        <v>145</v>
      </c>
      <c r="F45" s="18" t="s">
        <v>89</v>
      </c>
      <c r="G45" s="18" t="s">
        <v>135</v>
      </c>
      <c r="H45" s="18" t="s">
        <v>146</v>
      </c>
      <c r="I45" s="18"/>
      <c r="J45" s="18"/>
      <c r="K45" s="18"/>
      <c r="L45" s="62"/>
      <c r="M45" s="62"/>
      <c r="N45" s="66" t="s">
        <v>412</v>
      </c>
      <c r="O45" s="18"/>
    </row>
    <row r="46" spans="1:15" x14ac:dyDescent="0.25">
      <c r="A46" s="66" t="s">
        <v>150</v>
      </c>
      <c r="B46" s="18">
        <v>44</v>
      </c>
      <c r="C46" s="66" t="s">
        <v>140</v>
      </c>
      <c r="D46" s="66" t="s">
        <v>4</v>
      </c>
      <c r="E46" s="66" t="s">
        <v>145</v>
      </c>
      <c r="F46" s="66" t="s">
        <v>89</v>
      </c>
      <c r="G46" s="66" t="s">
        <v>135</v>
      </c>
      <c r="H46" s="66"/>
      <c r="I46" s="66" t="s">
        <v>123</v>
      </c>
      <c r="J46" s="66" t="s">
        <v>151</v>
      </c>
      <c r="K46" s="66">
        <v>205</v>
      </c>
      <c r="L46" s="67"/>
      <c r="M46" s="67"/>
      <c r="N46" s="66" t="s">
        <v>412</v>
      </c>
      <c r="O46" s="66"/>
    </row>
    <row r="47" spans="1:15" x14ac:dyDescent="0.25">
      <c r="A47" s="18" t="s">
        <v>82</v>
      </c>
      <c r="B47" s="66">
        <v>45</v>
      </c>
      <c r="C47" s="18" t="s">
        <v>66</v>
      </c>
      <c r="D47" s="66" t="s">
        <v>4</v>
      </c>
      <c r="E47" s="18" t="s">
        <v>68</v>
      </c>
      <c r="F47" s="18" t="s">
        <v>70</v>
      </c>
      <c r="G47" s="18" t="s">
        <v>134</v>
      </c>
      <c r="H47" s="18" t="s">
        <v>194</v>
      </c>
      <c r="I47" s="18"/>
      <c r="J47" s="18"/>
      <c r="K47" s="18"/>
      <c r="L47" s="62"/>
      <c r="M47" s="62"/>
      <c r="N47" s="66" t="s">
        <v>412</v>
      </c>
      <c r="O47" s="18"/>
    </row>
    <row r="48" spans="1:15" x14ac:dyDescent="0.25">
      <c r="A48" s="18" t="s">
        <v>152</v>
      </c>
      <c r="B48" s="18">
        <v>46</v>
      </c>
      <c r="C48" s="18"/>
      <c r="D48" s="66" t="s">
        <v>4</v>
      </c>
      <c r="E48" s="18" t="s">
        <v>68</v>
      </c>
      <c r="F48" s="18" t="s">
        <v>70</v>
      </c>
      <c r="G48" s="18" t="s">
        <v>153</v>
      </c>
      <c r="H48" s="18" t="s">
        <v>91</v>
      </c>
      <c r="I48" s="18"/>
      <c r="J48" s="18"/>
      <c r="K48" s="18"/>
      <c r="L48" s="62"/>
      <c r="M48" s="62"/>
      <c r="N48" s="66" t="s">
        <v>412</v>
      </c>
      <c r="O48" s="18"/>
    </row>
    <row r="49" spans="1:15" x14ac:dyDescent="0.25">
      <c r="A49" s="18" t="s">
        <v>154</v>
      </c>
      <c r="B49" s="18">
        <v>47</v>
      </c>
      <c r="C49" s="18"/>
      <c r="D49" s="66" t="s">
        <v>4</v>
      </c>
      <c r="E49" s="18" t="s">
        <v>68</v>
      </c>
      <c r="F49" s="18" t="s">
        <v>70</v>
      </c>
      <c r="G49" s="18" t="s">
        <v>116</v>
      </c>
      <c r="H49" s="18" t="s">
        <v>189</v>
      </c>
      <c r="I49" s="18"/>
      <c r="J49" s="18"/>
      <c r="K49" s="18"/>
      <c r="L49" s="62"/>
      <c r="M49" s="62"/>
      <c r="N49" s="66" t="s">
        <v>412</v>
      </c>
      <c r="O49" s="18"/>
    </row>
    <row r="50" spans="1:15" x14ac:dyDescent="0.25">
      <c r="A50" s="18" t="s">
        <v>154</v>
      </c>
      <c r="B50" s="18">
        <v>48</v>
      </c>
      <c r="C50" s="18"/>
      <c r="D50" s="66" t="s">
        <v>4</v>
      </c>
      <c r="E50" s="18" t="s">
        <v>119</v>
      </c>
      <c r="F50" s="18" t="s">
        <v>70</v>
      </c>
      <c r="G50" s="18" t="s">
        <v>120</v>
      </c>
      <c r="H50" s="18"/>
      <c r="I50" s="18"/>
      <c r="J50" s="18"/>
      <c r="K50" s="18"/>
      <c r="L50" s="62"/>
      <c r="M50" s="62"/>
      <c r="N50" s="66" t="s">
        <v>412</v>
      </c>
      <c r="O50" s="18"/>
    </row>
    <row r="51" spans="1:15" x14ac:dyDescent="0.25">
      <c r="A51" s="18" t="s">
        <v>155</v>
      </c>
      <c r="B51" s="66">
        <v>49</v>
      </c>
      <c r="C51" s="18"/>
      <c r="D51" s="66" t="s">
        <v>4</v>
      </c>
      <c r="E51" s="18" t="s">
        <v>144</v>
      </c>
      <c r="F51" s="18" t="s">
        <v>70</v>
      </c>
      <c r="G51" s="18" t="s">
        <v>120</v>
      </c>
      <c r="H51" s="18"/>
      <c r="I51" s="18"/>
      <c r="J51" s="18"/>
      <c r="K51" s="18"/>
      <c r="L51" s="62"/>
      <c r="M51" s="62"/>
      <c r="N51" s="66" t="s">
        <v>412</v>
      </c>
      <c r="O51" s="18"/>
    </row>
    <row r="52" spans="1:15" x14ac:dyDescent="0.25">
      <c r="A52" s="18" t="s">
        <v>156</v>
      </c>
      <c r="B52" s="18">
        <v>50</v>
      </c>
      <c r="C52" s="18" t="s">
        <v>140</v>
      </c>
      <c r="D52" s="66" t="s">
        <v>4</v>
      </c>
      <c r="E52" s="18" t="s">
        <v>68</v>
      </c>
      <c r="F52" s="18" t="s">
        <v>70</v>
      </c>
      <c r="G52" s="18" t="s">
        <v>157</v>
      </c>
      <c r="H52" s="18" t="s">
        <v>191</v>
      </c>
      <c r="I52" s="18"/>
      <c r="J52" s="18"/>
      <c r="K52" s="18"/>
      <c r="L52" s="62"/>
      <c r="M52" s="62"/>
      <c r="N52" s="66" t="s">
        <v>412</v>
      </c>
      <c r="O52" s="18"/>
    </row>
    <row r="53" spans="1:15" x14ac:dyDescent="0.25">
      <c r="A53" s="18" t="s">
        <v>156</v>
      </c>
      <c r="B53" s="18">
        <v>51</v>
      </c>
      <c r="C53" s="18" t="s">
        <v>140</v>
      </c>
      <c r="D53" s="66" t="s">
        <v>4</v>
      </c>
      <c r="E53" s="18" t="s">
        <v>68</v>
      </c>
      <c r="F53" s="18" t="s">
        <v>70</v>
      </c>
      <c r="G53" s="18" t="s">
        <v>158</v>
      </c>
      <c r="H53" s="18" t="s">
        <v>190</v>
      </c>
      <c r="I53" s="18"/>
      <c r="J53" s="18"/>
      <c r="K53" s="18"/>
      <c r="L53" s="62"/>
      <c r="M53" s="62"/>
      <c r="N53" s="66" t="s">
        <v>412</v>
      </c>
      <c r="O53" s="18"/>
    </row>
    <row r="54" spans="1:15" x14ac:dyDescent="0.25">
      <c r="A54" s="18" t="s">
        <v>159</v>
      </c>
      <c r="B54" s="18">
        <v>52</v>
      </c>
      <c r="C54" s="18"/>
      <c r="D54" s="66" t="s">
        <v>4</v>
      </c>
      <c r="E54" s="18" t="s">
        <v>86</v>
      </c>
      <c r="F54" s="18" t="s">
        <v>89</v>
      </c>
      <c r="G54" s="18" t="s">
        <v>160</v>
      </c>
      <c r="H54" s="18"/>
      <c r="I54" s="18"/>
      <c r="J54" s="18"/>
      <c r="K54" s="18"/>
      <c r="L54" s="62"/>
      <c r="M54" s="62"/>
      <c r="N54" s="66" t="s">
        <v>412</v>
      </c>
      <c r="O54" s="18"/>
    </row>
    <row r="55" spans="1:15" x14ac:dyDescent="0.25">
      <c r="A55" s="18" t="s">
        <v>163</v>
      </c>
      <c r="B55" s="66">
        <v>53</v>
      </c>
      <c r="C55" s="18"/>
      <c r="D55" s="66" t="s">
        <v>4</v>
      </c>
      <c r="E55" s="18" t="s">
        <v>68</v>
      </c>
      <c r="F55" s="18" t="s">
        <v>70</v>
      </c>
      <c r="G55" s="18" t="s">
        <v>161</v>
      </c>
      <c r="H55" s="18" t="s">
        <v>162</v>
      </c>
      <c r="I55" s="18"/>
      <c r="J55" s="18"/>
      <c r="K55" s="18"/>
      <c r="L55" s="62"/>
      <c r="M55" s="62"/>
      <c r="N55" s="66" t="s">
        <v>412</v>
      </c>
      <c r="O55" s="18"/>
    </row>
    <row r="56" spans="1:15" x14ac:dyDescent="0.25">
      <c r="A56" s="18" t="s">
        <v>163</v>
      </c>
      <c r="B56" s="18">
        <v>54</v>
      </c>
      <c r="C56" s="18"/>
      <c r="D56" s="66" t="s">
        <v>4</v>
      </c>
      <c r="E56" s="18" t="s">
        <v>86</v>
      </c>
      <c r="F56" s="18" t="s">
        <v>89</v>
      </c>
      <c r="G56" s="18" t="s">
        <v>160</v>
      </c>
      <c r="H56" s="18"/>
      <c r="I56" s="18"/>
      <c r="J56" s="18"/>
      <c r="K56" s="18"/>
      <c r="L56" s="62"/>
      <c r="M56" s="62"/>
      <c r="N56" s="66" t="s">
        <v>412</v>
      </c>
      <c r="O56" s="18"/>
    </row>
    <row r="57" spans="1:15" x14ac:dyDescent="0.25">
      <c r="A57" s="18" t="s">
        <v>165</v>
      </c>
      <c r="B57" s="18">
        <v>55</v>
      </c>
      <c r="C57" s="18"/>
      <c r="D57" s="66" t="s">
        <v>4</v>
      </c>
      <c r="E57" s="18" t="s">
        <v>86</v>
      </c>
      <c r="F57" s="18" t="s">
        <v>89</v>
      </c>
      <c r="G57" s="18" t="s">
        <v>160</v>
      </c>
      <c r="H57" s="18"/>
      <c r="I57" s="18"/>
      <c r="J57" s="18"/>
      <c r="K57" s="18"/>
      <c r="L57" s="62"/>
      <c r="M57" s="68">
        <v>46066</v>
      </c>
      <c r="N57" s="66" t="s">
        <v>412</v>
      </c>
      <c r="O57" s="18"/>
    </row>
    <row r="58" spans="1:15" x14ac:dyDescent="0.25">
      <c r="A58" s="18" t="s">
        <v>139</v>
      </c>
      <c r="B58" s="18">
        <v>56</v>
      </c>
      <c r="C58" s="18"/>
      <c r="D58" s="66" t="s">
        <v>4</v>
      </c>
      <c r="E58" s="18" t="s">
        <v>144</v>
      </c>
      <c r="F58" s="18" t="s">
        <v>70</v>
      </c>
      <c r="G58" s="18" t="s">
        <v>120</v>
      </c>
      <c r="H58" s="18"/>
      <c r="I58" s="18" t="s">
        <v>104</v>
      </c>
      <c r="J58" s="18" t="s">
        <v>166</v>
      </c>
      <c r="K58" s="18">
        <v>81108</v>
      </c>
      <c r="L58" s="62"/>
      <c r="M58" s="62"/>
      <c r="N58" s="66" t="s">
        <v>412</v>
      </c>
      <c r="O58" s="18"/>
    </row>
    <row r="59" spans="1:15" x14ac:dyDescent="0.25">
      <c r="A59" s="18" t="s">
        <v>362</v>
      </c>
      <c r="B59" s="66">
        <v>57</v>
      </c>
      <c r="C59" s="18" t="s">
        <v>140</v>
      </c>
      <c r="D59" s="18" t="s">
        <v>4</v>
      </c>
      <c r="E59" s="18" t="s">
        <v>68</v>
      </c>
      <c r="F59" s="18" t="s">
        <v>70</v>
      </c>
      <c r="G59" s="18" t="s">
        <v>415</v>
      </c>
      <c r="H59" s="18"/>
      <c r="I59" s="18"/>
      <c r="J59" s="18"/>
      <c r="K59" s="18"/>
      <c r="L59" s="62"/>
      <c r="M59" s="62"/>
      <c r="N59" s="66" t="s">
        <v>412</v>
      </c>
      <c r="O59" s="18"/>
    </row>
    <row r="60" spans="1:15" x14ac:dyDescent="0.25">
      <c r="A60" s="18" t="s">
        <v>363</v>
      </c>
      <c r="B60" s="18">
        <v>58</v>
      </c>
      <c r="C60" s="18" t="s">
        <v>416</v>
      </c>
      <c r="D60" s="18" t="s">
        <v>4</v>
      </c>
      <c r="E60" s="18" t="s">
        <v>68</v>
      </c>
      <c r="F60" s="18" t="s">
        <v>70</v>
      </c>
      <c r="G60" s="18" t="s">
        <v>414</v>
      </c>
      <c r="H60" s="18"/>
      <c r="I60" s="18"/>
      <c r="J60" s="18"/>
      <c r="K60" s="18"/>
      <c r="L60" s="62"/>
      <c r="M60" s="62"/>
      <c r="N60" s="66" t="s">
        <v>412</v>
      </c>
      <c r="O60" s="18"/>
    </row>
  </sheetData>
  <dataValidations count="6">
    <dataValidation type="list" allowBlank="1" sqref="F2:F1048576" xr:uid="{BA92360C-777D-43AA-88D0-1E99803EBB2B}">
      <formula1>"Mohawk,Evo,Envirolak"</formula1>
    </dataValidation>
    <dataValidation type="list" allowBlank="1" sqref="D2:D1048576" xr:uid="{68BA3628-E8FD-4614-A32F-63FCAE1FB176}">
      <formula1>"Completo,Puertas,Gabinetes,Retoque,Samples"</formula1>
    </dataValidation>
    <dataValidation type="list" allowBlank="1" sqref="D22 E2:E1048576" xr:uid="{365CEBE3-8573-4DEC-8850-3E8743A13B29}">
      <formula1>"MDF,HDF,Birch,WhiteOak,Walnaut,Cherry,Alder,Maple"</formula1>
    </dataValidation>
    <dataValidation allowBlank="1" sqref="L2:M1048576 G2:H1048576" xr:uid="{99C16462-01D9-4643-8A1F-2B52DDAEFCDA}"/>
    <dataValidation type="list" allowBlank="1" sqref="I2:I1048576" xr:uid="{5F6C1930-DA63-4D9C-8D7F-F68A345E0BCF}">
      <formula1>"Old Masters, Saman Wood Stain, Other"</formula1>
    </dataValidation>
    <dataValidation type="list" allowBlank="1" sqref="N1:N1048576" xr:uid="{9823708F-B2BC-44D6-809D-C72F2950A4E4}">
      <formula1>"Terminado, En curso, Pendiente, No iniciado"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8F6C-035B-4604-8FC0-5BF468C0FBF4}">
  <dimension ref="A1:J55"/>
  <sheetViews>
    <sheetView workbookViewId="0">
      <pane ySplit="1" topLeftCell="A2" activePane="bottomLeft" state="frozen"/>
      <selection activeCell="B1" sqref="B1"/>
      <selection pane="bottomLeft" activeCell="G28" sqref="G28"/>
    </sheetView>
  </sheetViews>
  <sheetFormatPr baseColWidth="10" defaultColWidth="8.88671875" defaultRowHeight="14.4" x14ac:dyDescent="0.3"/>
  <cols>
    <col min="1" max="1" width="7.88671875" bestFit="1" customWidth="1"/>
    <col min="2" max="2" width="12" bestFit="1" customWidth="1"/>
    <col min="3" max="3" width="17" bestFit="1" customWidth="1"/>
    <col min="4" max="4" width="18" customWidth="1"/>
    <col min="5" max="5" width="15" customWidth="1"/>
    <col min="6" max="6" width="17.77734375" customWidth="1"/>
    <col min="7" max="7" width="17.77734375" bestFit="1" customWidth="1"/>
    <col min="8" max="8" width="9.88671875" bestFit="1" customWidth="1"/>
    <col min="9" max="9" width="13.21875" bestFit="1" customWidth="1"/>
    <col min="10" max="10" width="17.77734375" bestFit="1" customWidth="1"/>
  </cols>
  <sheetData>
    <row r="1" spans="1:10" x14ac:dyDescent="0.3">
      <c r="A1" s="10" t="s">
        <v>148</v>
      </c>
      <c r="B1" s="10" t="s">
        <v>1</v>
      </c>
      <c r="C1" s="10" t="s">
        <v>65</v>
      </c>
      <c r="D1" s="10" t="s">
        <v>62</v>
      </c>
      <c r="E1" s="10" t="s">
        <v>2</v>
      </c>
      <c r="F1" s="10" t="s">
        <v>61</v>
      </c>
      <c r="G1" s="10" t="s">
        <v>167</v>
      </c>
      <c r="H1" s="10" t="s">
        <v>168</v>
      </c>
      <c r="I1" s="10" t="s">
        <v>169</v>
      </c>
      <c r="J1" s="10" t="s">
        <v>170</v>
      </c>
    </row>
    <row r="2" spans="1:10" x14ac:dyDescent="0.3">
      <c r="A2" s="1">
        <v>1</v>
      </c>
      <c r="B2" s="1" t="s">
        <v>64</v>
      </c>
      <c r="C2" s="1" t="s">
        <v>66</v>
      </c>
      <c r="D2" s="1" t="s">
        <v>68</v>
      </c>
      <c r="E2" s="1" t="s">
        <v>70</v>
      </c>
      <c r="F2" s="1" t="s">
        <v>69</v>
      </c>
      <c r="G2" s="1">
        <v>10</v>
      </c>
      <c r="H2" s="1">
        <v>100</v>
      </c>
      <c r="I2" s="1">
        <v>262.26</v>
      </c>
      <c r="J2" s="8">
        <f>(G2+H2)/I2</f>
        <v>0.41943109890947916</v>
      </c>
    </row>
    <row r="3" spans="1:10" x14ac:dyDescent="0.3">
      <c r="A3" s="1">
        <f>1+A2</f>
        <v>2</v>
      </c>
      <c r="B3" s="1" t="s">
        <v>71</v>
      </c>
      <c r="C3" s="1" t="s">
        <v>12</v>
      </c>
      <c r="D3" s="1" t="s">
        <v>68</v>
      </c>
      <c r="E3" s="1" t="s">
        <v>70</v>
      </c>
      <c r="F3" s="1" t="s">
        <v>72</v>
      </c>
      <c r="G3" s="1" t="s">
        <v>12</v>
      </c>
      <c r="H3" s="1"/>
      <c r="I3" s="1"/>
      <c r="J3" s="8" t="e">
        <f t="shared" ref="J3:J49" si="0">(G3+H3)/I3</f>
        <v>#VALUE!</v>
      </c>
    </row>
    <row r="4" spans="1:10" x14ac:dyDescent="0.3">
      <c r="A4" s="1">
        <f t="shared" ref="A4:A55" si="1">1+A3</f>
        <v>3</v>
      </c>
      <c r="B4" s="1" t="s">
        <v>73</v>
      </c>
      <c r="C4" s="1" t="s">
        <v>74</v>
      </c>
      <c r="D4" s="1" t="s">
        <v>68</v>
      </c>
      <c r="E4" s="1" t="s">
        <v>70</v>
      </c>
      <c r="F4" s="1" t="s">
        <v>80</v>
      </c>
      <c r="G4" s="1" t="s">
        <v>12</v>
      </c>
      <c r="H4" s="1"/>
      <c r="I4" s="1"/>
      <c r="J4" s="8" t="e">
        <f t="shared" si="0"/>
        <v>#VALUE!</v>
      </c>
    </row>
    <row r="5" spans="1:10" x14ac:dyDescent="0.3">
      <c r="A5" s="1">
        <f t="shared" si="1"/>
        <v>4</v>
      </c>
      <c r="B5" s="1" t="s">
        <v>75</v>
      </c>
      <c r="C5" s="1" t="s">
        <v>12</v>
      </c>
      <c r="D5" s="1" t="s">
        <v>68</v>
      </c>
      <c r="E5" s="1" t="s">
        <v>76</v>
      </c>
      <c r="F5" s="1" t="s">
        <v>12</v>
      </c>
      <c r="G5" s="1"/>
      <c r="H5" s="1"/>
      <c r="I5" s="1"/>
      <c r="J5" s="8" t="e">
        <f t="shared" si="0"/>
        <v>#DIV/0!</v>
      </c>
    </row>
    <row r="6" spans="1:10" x14ac:dyDescent="0.3">
      <c r="A6" s="1">
        <f t="shared" si="1"/>
        <v>5</v>
      </c>
      <c r="B6" s="1" t="s">
        <v>77</v>
      </c>
      <c r="C6" s="1" t="s">
        <v>12</v>
      </c>
      <c r="D6" s="1" t="s">
        <v>68</v>
      </c>
      <c r="E6" s="1" t="s">
        <v>76</v>
      </c>
      <c r="F6" s="1" t="s">
        <v>12</v>
      </c>
      <c r="G6" s="1"/>
      <c r="H6" s="1"/>
      <c r="I6" s="1"/>
      <c r="J6" s="8" t="e">
        <f t="shared" si="0"/>
        <v>#DIV/0!</v>
      </c>
    </row>
    <row r="7" spans="1:10" x14ac:dyDescent="0.3">
      <c r="A7" s="1">
        <f t="shared" si="1"/>
        <v>6</v>
      </c>
      <c r="B7" s="1" t="s">
        <v>78</v>
      </c>
      <c r="C7" s="1" t="s">
        <v>12</v>
      </c>
      <c r="D7" s="1" t="s">
        <v>68</v>
      </c>
      <c r="E7" s="1" t="s">
        <v>76</v>
      </c>
      <c r="F7" s="1" t="s">
        <v>12</v>
      </c>
      <c r="G7" s="1"/>
      <c r="H7" s="1"/>
      <c r="I7" s="1"/>
      <c r="J7" s="8" t="e">
        <f t="shared" si="0"/>
        <v>#DIV/0!</v>
      </c>
    </row>
    <row r="8" spans="1:10" x14ac:dyDescent="0.3">
      <c r="A8" s="1">
        <f t="shared" si="1"/>
        <v>7</v>
      </c>
      <c r="B8" s="1" t="s">
        <v>79</v>
      </c>
      <c r="C8" s="1" t="s">
        <v>12</v>
      </c>
      <c r="D8" s="1" t="s">
        <v>68</v>
      </c>
      <c r="E8" s="1" t="s">
        <v>70</v>
      </c>
      <c r="F8" s="1" t="s">
        <v>80</v>
      </c>
      <c r="G8" s="1"/>
      <c r="H8" s="1"/>
      <c r="I8" s="1"/>
      <c r="J8" s="8" t="e">
        <f t="shared" si="0"/>
        <v>#DIV/0!</v>
      </c>
    </row>
    <row r="9" spans="1:10" x14ac:dyDescent="0.3">
      <c r="A9" s="1">
        <f t="shared" si="1"/>
        <v>8</v>
      </c>
      <c r="B9" s="1" t="s">
        <v>82</v>
      </c>
      <c r="C9" s="1" t="s">
        <v>12</v>
      </c>
      <c r="D9" s="1" t="s">
        <v>86</v>
      </c>
      <c r="E9" s="1" t="s">
        <v>70</v>
      </c>
      <c r="F9" s="1" t="s">
        <v>87</v>
      </c>
      <c r="G9" s="1"/>
      <c r="H9" s="1"/>
      <c r="I9" s="1"/>
      <c r="J9" s="8" t="e">
        <f t="shared" si="0"/>
        <v>#DIV/0!</v>
      </c>
    </row>
    <row r="10" spans="1:10" x14ac:dyDescent="0.3">
      <c r="A10" s="1">
        <f t="shared" si="1"/>
        <v>9</v>
      </c>
      <c r="B10" s="1" t="s">
        <v>82</v>
      </c>
      <c r="C10" s="1" t="s">
        <v>12</v>
      </c>
      <c r="D10" s="1" t="s">
        <v>68</v>
      </c>
      <c r="E10" s="1" t="s">
        <v>70</v>
      </c>
      <c r="F10" s="1" t="s">
        <v>88</v>
      </c>
      <c r="G10" s="1"/>
      <c r="H10" s="1"/>
      <c r="I10" s="1"/>
      <c r="J10" s="8" t="e">
        <f t="shared" si="0"/>
        <v>#DIV/0!</v>
      </c>
    </row>
    <row r="11" spans="1:10" x14ac:dyDescent="0.3">
      <c r="A11" s="1">
        <f t="shared" si="1"/>
        <v>10</v>
      </c>
      <c r="B11" s="1" t="s">
        <v>83</v>
      </c>
      <c r="C11" s="1" t="s">
        <v>12</v>
      </c>
      <c r="D11" s="1" t="s">
        <v>86</v>
      </c>
      <c r="E11" s="1" t="s">
        <v>89</v>
      </c>
      <c r="F11" s="1" t="s">
        <v>90</v>
      </c>
      <c r="G11" s="1"/>
      <c r="H11" s="1"/>
      <c r="I11" s="1"/>
      <c r="J11" s="8" t="e">
        <f t="shared" si="0"/>
        <v>#DIV/0!</v>
      </c>
    </row>
    <row r="12" spans="1:10" x14ac:dyDescent="0.3">
      <c r="A12" s="1">
        <f t="shared" si="1"/>
        <v>11</v>
      </c>
      <c r="B12" s="1" t="s">
        <v>84</v>
      </c>
      <c r="C12" s="1" t="s">
        <v>12</v>
      </c>
      <c r="D12" s="1" t="s">
        <v>68</v>
      </c>
      <c r="E12" s="1" t="s">
        <v>70</v>
      </c>
      <c r="F12" s="1" t="s">
        <v>80</v>
      </c>
      <c r="G12" s="1"/>
      <c r="H12" s="1"/>
      <c r="I12" s="1"/>
      <c r="J12" s="8" t="e">
        <f t="shared" si="0"/>
        <v>#DIV/0!</v>
      </c>
    </row>
    <row r="13" spans="1:10" x14ac:dyDescent="0.3">
      <c r="A13" s="1">
        <f t="shared" si="1"/>
        <v>12</v>
      </c>
      <c r="B13" s="1" t="s">
        <v>85</v>
      </c>
      <c r="C13" s="1" t="s">
        <v>12</v>
      </c>
      <c r="D13" s="1" t="s">
        <v>68</v>
      </c>
      <c r="E13" s="1" t="s">
        <v>89</v>
      </c>
      <c r="F13" s="1" t="s">
        <v>92</v>
      </c>
      <c r="G13" s="1"/>
      <c r="H13" s="1"/>
      <c r="I13" s="1"/>
      <c r="J13" s="8" t="e">
        <f t="shared" si="0"/>
        <v>#DIV/0!</v>
      </c>
    </row>
    <row r="14" spans="1:10" x14ac:dyDescent="0.3">
      <c r="A14" s="1">
        <f t="shared" si="1"/>
        <v>13</v>
      </c>
      <c r="B14" s="1" t="s">
        <v>93</v>
      </c>
      <c r="C14" s="1" t="s">
        <v>12</v>
      </c>
      <c r="D14" s="1" t="s">
        <v>68</v>
      </c>
      <c r="E14" s="1" t="s">
        <v>76</v>
      </c>
      <c r="F14" s="1" t="s">
        <v>94</v>
      </c>
      <c r="G14" s="1"/>
      <c r="H14" s="1"/>
      <c r="I14" s="1"/>
      <c r="J14" s="8" t="e">
        <f t="shared" si="0"/>
        <v>#DIV/0!</v>
      </c>
    </row>
    <row r="15" spans="1:10" x14ac:dyDescent="0.3">
      <c r="A15" s="1">
        <f t="shared" si="1"/>
        <v>14</v>
      </c>
      <c r="B15" s="1" t="s">
        <v>96</v>
      </c>
      <c r="C15" s="1" t="s">
        <v>12</v>
      </c>
      <c r="D15" s="1" t="s">
        <v>97</v>
      </c>
      <c r="E15" s="1" t="s">
        <v>70</v>
      </c>
      <c r="F15" s="1" t="s">
        <v>87</v>
      </c>
      <c r="G15" s="1"/>
      <c r="H15" s="1"/>
      <c r="I15" s="1"/>
      <c r="J15" s="8" t="e">
        <f t="shared" si="0"/>
        <v>#DIV/0!</v>
      </c>
    </row>
    <row r="16" spans="1:10" x14ac:dyDescent="0.3">
      <c r="A16" s="1">
        <f>1+A15</f>
        <v>15</v>
      </c>
      <c r="B16" s="7" t="s">
        <v>98</v>
      </c>
      <c r="C16" s="7" t="s">
        <v>12</v>
      </c>
      <c r="D16" s="7" t="s">
        <v>68</v>
      </c>
      <c r="E16" s="7" t="s">
        <v>70</v>
      </c>
      <c r="F16" s="7" t="s">
        <v>149</v>
      </c>
      <c r="G16" s="7"/>
      <c r="H16" s="7"/>
      <c r="I16" s="7"/>
      <c r="J16" s="8" t="e">
        <f t="shared" si="0"/>
        <v>#DIV/0!</v>
      </c>
    </row>
    <row r="17" spans="1:10" x14ac:dyDescent="0.3">
      <c r="A17" s="1">
        <f t="shared" si="1"/>
        <v>16</v>
      </c>
      <c r="B17" s="1" t="s">
        <v>84</v>
      </c>
      <c r="C17" s="1" t="s">
        <v>12</v>
      </c>
      <c r="D17" s="1" t="s">
        <v>86</v>
      </c>
      <c r="E17" s="1" t="s">
        <v>70</v>
      </c>
      <c r="F17" s="1" t="s">
        <v>87</v>
      </c>
      <c r="G17" s="1"/>
      <c r="H17" s="1"/>
      <c r="I17" s="1"/>
      <c r="J17" s="8" t="e">
        <f t="shared" si="0"/>
        <v>#DIV/0!</v>
      </c>
    </row>
    <row r="18" spans="1:10" x14ac:dyDescent="0.3">
      <c r="A18" s="1">
        <f t="shared" si="1"/>
        <v>17</v>
      </c>
      <c r="B18" s="1" t="s">
        <v>99</v>
      </c>
      <c r="C18" s="1" t="s">
        <v>12</v>
      </c>
      <c r="D18" s="1" t="s">
        <v>102</v>
      </c>
      <c r="E18" s="1" t="s">
        <v>70</v>
      </c>
      <c r="F18" s="1" t="s">
        <v>100</v>
      </c>
      <c r="G18" s="1"/>
      <c r="H18" s="1"/>
      <c r="I18" s="1"/>
      <c r="J18" s="8" t="e">
        <f t="shared" si="0"/>
        <v>#DIV/0!</v>
      </c>
    </row>
    <row r="19" spans="1:10" x14ac:dyDescent="0.3">
      <c r="A19" s="1">
        <f t="shared" si="1"/>
        <v>18</v>
      </c>
      <c r="B19" s="1" t="s">
        <v>113</v>
      </c>
      <c r="C19" s="1" t="s">
        <v>12</v>
      </c>
      <c r="D19" s="1" t="s">
        <v>68</v>
      </c>
      <c r="E19" s="1" t="s">
        <v>70</v>
      </c>
      <c r="F19" s="1" t="s">
        <v>114</v>
      </c>
      <c r="G19" s="1"/>
      <c r="H19" s="1"/>
      <c r="I19" s="1"/>
      <c r="J19" s="8" t="e">
        <f t="shared" si="0"/>
        <v>#DIV/0!</v>
      </c>
    </row>
    <row r="20" spans="1:10" x14ac:dyDescent="0.3">
      <c r="A20" s="1">
        <f t="shared" si="1"/>
        <v>19</v>
      </c>
      <c r="B20" s="1" t="s">
        <v>115</v>
      </c>
      <c r="C20" s="1" t="s">
        <v>12</v>
      </c>
      <c r="D20" s="1" t="s">
        <v>68</v>
      </c>
      <c r="E20" s="1" t="s">
        <v>70</v>
      </c>
      <c r="F20" s="1" t="s">
        <v>116</v>
      </c>
      <c r="G20" s="1"/>
      <c r="H20" s="1"/>
      <c r="I20" s="1"/>
      <c r="J20" s="8" t="e">
        <f t="shared" si="0"/>
        <v>#DIV/0!</v>
      </c>
    </row>
    <row r="21" spans="1:10" x14ac:dyDescent="0.3">
      <c r="A21" s="1">
        <f t="shared" si="1"/>
        <v>20</v>
      </c>
      <c r="B21" s="1" t="s">
        <v>118</v>
      </c>
      <c r="C21" s="1" t="s">
        <v>12</v>
      </c>
      <c r="D21" s="1" t="s">
        <v>68</v>
      </c>
      <c r="E21" s="1" t="s">
        <v>70</v>
      </c>
      <c r="F21" s="1" t="s">
        <v>69</v>
      </c>
      <c r="G21" s="1"/>
      <c r="H21" s="1"/>
      <c r="I21" s="1"/>
      <c r="J21" s="8" t="e">
        <f t="shared" si="0"/>
        <v>#DIV/0!</v>
      </c>
    </row>
    <row r="22" spans="1:10" x14ac:dyDescent="0.3">
      <c r="A22" s="1">
        <f t="shared" si="1"/>
        <v>21</v>
      </c>
      <c r="B22" s="1" t="s">
        <v>118</v>
      </c>
      <c r="C22" s="1" t="s">
        <v>12</v>
      </c>
      <c r="D22" s="1" t="s">
        <v>119</v>
      </c>
      <c r="E22" s="1" t="s">
        <v>70</v>
      </c>
      <c r="F22" s="1" t="s">
        <v>120</v>
      </c>
      <c r="G22" s="1"/>
      <c r="H22" s="1"/>
      <c r="I22" s="1"/>
      <c r="J22" s="8" t="e">
        <f t="shared" si="0"/>
        <v>#DIV/0!</v>
      </c>
    </row>
    <row r="23" spans="1:10" x14ac:dyDescent="0.3">
      <c r="A23" s="1">
        <f t="shared" si="1"/>
        <v>22</v>
      </c>
      <c r="B23" s="1" t="s">
        <v>124</v>
      </c>
      <c r="C23" s="1" t="s">
        <v>12</v>
      </c>
      <c r="D23" s="1" t="s">
        <v>68</v>
      </c>
      <c r="E23" s="1" t="s">
        <v>70</v>
      </c>
      <c r="F23" s="1" t="s">
        <v>125</v>
      </c>
      <c r="G23" s="1"/>
      <c r="H23" s="1"/>
      <c r="I23" s="1"/>
      <c r="J23" s="8" t="e">
        <f t="shared" si="0"/>
        <v>#DIV/0!</v>
      </c>
    </row>
    <row r="24" spans="1:10" x14ac:dyDescent="0.3">
      <c r="A24" s="1">
        <f t="shared" si="1"/>
        <v>23</v>
      </c>
      <c r="B24" s="1" t="s">
        <v>127</v>
      </c>
      <c r="C24" s="1" t="s">
        <v>12</v>
      </c>
      <c r="D24" s="1" t="s">
        <v>68</v>
      </c>
      <c r="E24" s="1" t="s">
        <v>70</v>
      </c>
      <c r="F24" s="1" t="s">
        <v>128</v>
      </c>
      <c r="G24" s="1"/>
      <c r="H24" s="1"/>
      <c r="I24" s="1"/>
      <c r="J24" s="8" t="e">
        <f t="shared" si="0"/>
        <v>#DIV/0!</v>
      </c>
    </row>
    <row r="25" spans="1:10" x14ac:dyDescent="0.3">
      <c r="A25" s="1">
        <f t="shared" si="1"/>
        <v>24</v>
      </c>
      <c r="B25" s="1" t="s">
        <v>127</v>
      </c>
      <c r="C25" s="1" t="s">
        <v>12</v>
      </c>
      <c r="D25" s="1" t="s">
        <v>97</v>
      </c>
      <c r="E25" s="1" t="s">
        <v>70</v>
      </c>
      <c r="F25" s="1" t="s">
        <v>120</v>
      </c>
      <c r="G25" s="1"/>
      <c r="H25" s="1"/>
      <c r="I25" s="1"/>
      <c r="J25" s="8" t="e">
        <f t="shared" si="0"/>
        <v>#DIV/0!</v>
      </c>
    </row>
    <row r="26" spans="1:10" x14ac:dyDescent="0.3">
      <c r="A26" s="1">
        <f t="shared" si="1"/>
        <v>25</v>
      </c>
      <c r="B26" s="1" t="s">
        <v>133</v>
      </c>
      <c r="C26" s="1" t="s">
        <v>12</v>
      </c>
      <c r="D26" s="1" t="s">
        <v>68</v>
      </c>
      <c r="E26" s="1" t="s">
        <v>130</v>
      </c>
      <c r="F26" s="1" t="s">
        <v>69</v>
      </c>
      <c r="G26" s="1"/>
      <c r="H26" s="1"/>
      <c r="I26" s="1"/>
      <c r="J26" s="8" t="e">
        <f t="shared" si="0"/>
        <v>#DIV/0!</v>
      </c>
    </row>
    <row r="27" spans="1:10" x14ac:dyDescent="0.3">
      <c r="A27" s="1">
        <f t="shared" si="1"/>
        <v>26</v>
      </c>
      <c r="B27" s="1" t="s">
        <v>82</v>
      </c>
      <c r="C27" s="1" t="s">
        <v>12</v>
      </c>
      <c r="D27" s="1" t="s">
        <v>68</v>
      </c>
      <c r="E27" s="1" t="s">
        <v>70</v>
      </c>
      <c r="F27" s="1" t="s">
        <v>134</v>
      </c>
      <c r="G27" s="1"/>
      <c r="H27" s="1"/>
      <c r="I27" s="1"/>
      <c r="J27" s="8" t="e">
        <f t="shared" si="0"/>
        <v>#DIV/0!</v>
      </c>
    </row>
    <row r="28" spans="1:10" x14ac:dyDescent="0.3">
      <c r="A28" s="1">
        <f t="shared" si="1"/>
        <v>27</v>
      </c>
      <c r="B28" s="1" t="s">
        <v>127</v>
      </c>
      <c r="C28" s="1" t="s">
        <v>12</v>
      </c>
      <c r="D28" s="1" t="s">
        <v>97</v>
      </c>
      <c r="E28" s="1" t="s">
        <v>89</v>
      </c>
      <c r="F28" s="1" t="s">
        <v>135</v>
      </c>
      <c r="G28" s="1"/>
      <c r="H28" s="1"/>
      <c r="I28" s="1"/>
      <c r="J28" s="8" t="e">
        <f t="shared" si="0"/>
        <v>#DIV/0!</v>
      </c>
    </row>
    <row r="29" spans="1:10" x14ac:dyDescent="0.3">
      <c r="A29" s="1">
        <f t="shared" si="1"/>
        <v>28</v>
      </c>
      <c r="B29" s="1" t="s">
        <v>136</v>
      </c>
      <c r="C29" s="1" t="s">
        <v>12</v>
      </c>
      <c r="D29" s="1" t="s">
        <v>86</v>
      </c>
      <c r="E29" s="1" t="s">
        <v>89</v>
      </c>
      <c r="F29" s="1" t="s">
        <v>135</v>
      </c>
      <c r="G29" s="1"/>
      <c r="H29" s="1"/>
      <c r="I29" s="1"/>
      <c r="J29" s="8" t="e">
        <f t="shared" si="0"/>
        <v>#DIV/0!</v>
      </c>
    </row>
    <row r="30" spans="1:10" x14ac:dyDescent="0.3">
      <c r="A30" s="1">
        <f t="shared" si="1"/>
        <v>29</v>
      </c>
      <c r="B30" s="1" t="s">
        <v>139</v>
      </c>
      <c r="C30" s="1" t="s">
        <v>140</v>
      </c>
      <c r="D30" s="1" t="s">
        <v>68</v>
      </c>
      <c r="E30" s="1" t="s">
        <v>130</v>
      </c>
      <c r="F30" s="1" t="s">
        <v>69</v>
      </c>
      <c r="G30" s="1"/>
      <c r="H30" s="1"/>
      <c r="I30" s="1"/>
      <c r="J30" s="8" t="e">
        <f t="shared" si="0"/>
        <v>#DIV/0!</v>
      </c>
    </row>
    <row r="31" spans="1:10" x14ac:dyDescent="0.3">
      <c r="A31" s="1">
        <f t="shared" si="1"/>
        <v>30</v>
      </c>
      <c r="B31" s="1" t="s">
        <v>139</v>
      </c>
      <c r="C31" s="1" t="s">
        <v>140</v>
      </c>
      <c r="D31" s="1" t="s">
        <v>144</v>
      </c>
      <c r="E31" s="1" t="s">
        <v>130</v>
      </c>
      <c r="F31" s="1" t="s">
        <v>120</v>
      </c>
      <c r="G31" s="1"/>
      <c r="H31" s="1"/>
      <c r="I31" s="1"/>
      <c r="J31" s="8" t="e">
        <f t="shared" si="0"/>
        <v>#DIV/0!</v>
      </c>
    </row>
    <row r="32" spans="1:10" x14ac:dyDescent="0.3">
      <c r="A32" s="1">
        <f t="shared" si="1"/>
        <v>31</v>
      </c>
      <c r="B32" s="1" t="s">
        <v>139</v>
      </c>
      <c r="C32" s="1" t="s">
        <v>141</v>
      </c>
      <c r="D32" s="1" t="s">
        <v>68</v>
      </c>
      <c r="E32" s="1" t="s">
        <v>130</v>
      </c>
      <c r="F32" s="1" t="s">
        <v>69</v>
      </c>
      <c r="G32" s="1"/>
      <c r="H32" s="1"/>
      <c r="I32" s="1"/>
      <c r="J32" s="8" t="e">
        <f t="shared" si="0"/>
        <v>#DIV/0!</v>
      </c>
    </row>
    <row r="33" spans="1:10" x14ac:dyDescent="0.3">
      <c r="A33" s="1">
        <f t="shared" si="1"/>
        <v>32</v>
      </c>
      <c r="B33" s="1" t="s">
        <v>139</v>
      </c>
      <c r="C33" s="1" t="s">
        <v>142</v>
      </c>
      <c r="D33" s="1" t="s">
        <v>144</v>
      </c>
      <c r="E33" s="1" t="s">
        <v>130</v>
      </c>
      <c r="F33" s="1" t="s">
        <v>120</v>
      </c>
      <c r="G33" s="1"/>
      <c r="H33" s="1"/>
      <c r="I33" s="1"/>
      <c r="J33" s="8" t="e">
        <f t="shared" si="0"/>
        <v>#DIV/0!</v>
      </c>
    </row>
    <row r="34" spans="1:10" x14ac:dyDescent="0.3">
      <c r="A34" s="1">
        <f t="shared" si="1"/>
        <v>33</v>
      </c>
      <c r="B34" s="1" t="s">
        <v>139</v>
      </c>
      <c r="C34" s="1" t="s">
        <v>143</v>
      </c>
      <c r="D34" s="1" t="s">
        <v>145</v>
      </c>
      <c r="E34" s="1" t="s">
        <v>89</v>
      </c>
      <c r="F34" s="1" t="s">
        <v>135</v>
      </c>
      <c r="G34" s="1"/>
      <c r="H34" s="1"/>
      <c r="I34" s="1"/>
      <c r="J34" s="8" t="e">
        <f t="shared" si="0"/>
        <v>#DIV/0!</v>
      </c>
    </row>
    <row r="35" spans="1:10" x14ac:dyDescent="0.3">
      <c r="A35" s="1">
        <f t="shared" si="1"/>
        <v>34</v>
      </c>
      <c r="B35" s="1" t="s">
        <v>150</v>
      </c>
      <c r="C35" s="1" t="s">
        <v>140</v>
      </c>
      <c r="D35" s="1" t="s">
        <v>145</v>
      </c>
      <c r="E35" s="1" t="s">
        <v>89</v>
      </c>
      <c r="F35" s="1" t="s">
        <v>135</v>
      </c>
      <c r="G35" s="1"/>
      <c r="H35" s="1"/>
      <c r="I35" s="1"/>
      <c r="J35" s="8" t="e">
        <f t="shared" si="0"/>
        <v>#DIV/0!</v>
      </c>
    </row>
    <row r="36" spans="1:10" x14ac:dyDescent="0.3">
      <c r="A36" s="1">
        <f t="shared" si="1"/>
        <v>35</v>
      </c>
      <c r="B36" s="1" t="s">
        <v>82</v>
      </c>
      <c r="C36" s="1" t="s">
        <v>66</v>
      </c>
      <c r="D36" s="1" t="s">
        <v>68</v>
      </c>
      <c r="E36" s="1" t="s">
        <v>70</v>
      </c>
      <c r="F36" s="1" t="s">
        <v>134</v>
      </c>
      <c r="G36" s="1"/>
      <c r="H36" s="1"/>
      <c r="I36" s="1"/>
      <c r="J36" s="8" t="e">
        <f t="shared" si="0"/>
        <v>#DIV/0!</v>
      </c>
    </row>
    <row r="37" spans="1:10" x14ac:dyDescent="0.3">
      <c r="A37" s="1">
        <f t="shared" si="1"/>
        <v>36</v>
      </c>
      <c r="B37" s="1" t="s">
        <v>152</v>
      </c>
      <c r="C37" s="1"/>
      <c r="D37" s="1" t="s">
        <v>68</v>
      </c>
      <c r="E37" s="1" t="s">
        <v>70</v>
      </c>
      <c r="F37" s="1" t="s">
        <v>153</v>
      </c>
      <c r="G37" s="1"/>
      <c r="H37" s="1"/>
      <c r="I37" s="1"/>
      <c r="J37" s="8" t="e">
        <f t="shared" si="0"/>
        <v>#DIV/0!</v>
      </c>
    </row>
    <row r="38" spans="1:10" x14ac:dyDescent="0.3">
      <c r="A38" s="1">
        <f t="shared" si="1"/>
        <v>37</v>
      </c>
      <c r="B38" s="1" t="s">
        <v>154</v>
      </c>
      <c r="C38" s="1"/>
      <c r="D38" s="1" t="s">
        <v>68</v>
      </c>
      <c r="E38" s="1" t="s">
        <v>70</v>
      </c>
      <c r="F38" s="1" t="s">
        <v>116</v>
      </c>
      <c r="G38" s="1"/>
      <c r="H38" s="1"/>
      <c r="I38" s="1"/>
      <c r="J38" s="8" t="e">
        <f t="shared" si="0"/>
        <v>#DIV/0!</v>
      </c>
    </row>
    <row r="39" spans="1:10" x14ac:dyDescent="0.3">
      <c r="A39" s="1">
        <f t="shared" si="1"/>
        <v>38</v>
      </c>
      <c r="B39" s="1" t="s">
        <v>154</v>
      </c>
      <c r="C39" s="1"/>
      <c r="D39" s="1" t="s">
        <v>119</v>
      </c>
      <c r="E39" s="1" t="s">
        <v>70</v>
      </c>
      <c r="F39" s="1" t="s">
        <v>120</v>
      </c>
      <c r="G39" s="1"/>
      <c r="H39" s="1"/>
      <c r="I39" s="1"/>
      <c r="J39" s="8" t="e">
        <f t="shared" si="0"/>
        <v>#DIV/0!</v>
      </c>
    </row>
    <row r="40" spans="1:10" x14ac:dyDescent="0.3">
      <c r="A40" s="1">
        <f t="shared" si="1"/>
        <v>39</v>
      </c>
      <c r="B40" s="1" t="s">
        <v>155</v>
      </c>
      <c r="C40" s="1"/>
      <c r="D40" s="1" t="s">
        <v>144</v>
      </c>
      <c r="E40" s="1" t="s">
        <v>70</v>
      </c>
      <c r="F40" s="1" t="s">
        <v>120</v>
      </c>
      <c r="G40" s="1"/>
      <c r="H40" s="1"/>
      <c r="I40" s="1"/>
      <c r="J40" s="8" t="e">
        <f t="shared" si="0"/>
        <v>#DIV/0!</v>
      </c>
    </row>
    <row r="41" spans="1:10" x14ac:dyDescent="0.3">
      <c r="A41" s="1">
        <f t="shared" si="1"/>
        <v>40</v>
      </c>
      <c r="B41" s="1" t="s">
        <v>156</v>
      </c>
      <c r="C41" s="1"/>
      <c r="D41" s="1" t="s">
        <v>68</v>
      </c>
      <c r="E41" s="1" t="s">
        <v>130</v>
      </c>
      <c r="F41" s="1" t="s">
        <v>157</v>
      </c>
      <c r="G41" s="1"/>
      <c r="H41" s="1"/>
      <c r="I41" s="1"/>
      <c r="J41" s="8" t="e">
        <f t="shared" si="0"/>
        <v>#DIV/0!</v>
      </c>
    </row>
    <row r="42" spans="1:10" x14ac:dyDescent="0.3">
      <c r="A42" s="1">
        <f t="shared" si="1"/>
        <v>41</v>
      </c>
      <c r="B42" s="1" t="s">
        <v>156</v>
      </c>
      <c r="C42" s="1"/>
      <c r="D42" s="1" t="s">
        <v>68</v>
      </c>
      <c r="E42" s="1" t="s">
        <v>130</v>
      </c>
      <c r="F42" s="1" t="s">
        <v>158</v>
      </c>
      <c r="G42" s="1"/>
      <c r="H42" s="1"/>
      <c r="I42" s="1"/>
      <c r="J42" s="8" t="e">
        <f t="shared" si="0"/>
        <v>#DIV/0!</v>
      </c>
    </row>
    <row r="43" spans="1:10" x14ac:dyDescent="0.3">
      <c r="A43" s="1">
        <f t="shared" si="1"/>
        <v>42</v>
      </c>
      <c r="B43" s="1" t="s">
        <v>159</v>
      </c>
      <c r="C43" s="1"/>
      <c r="D43" s="1" t="s">
        <v>86</v>
      </c>
      <c r="E43" s="1" t="s">
        <v>89</v>
      </c>
      <c r="F43" s="1" t="s">
        <v>160</v>
      </c>
      <c r="G43" s="1"/>
      <c r="H43" s="1"/>
      <c r="I43" s="1"/>
      <c r="J43" s="8" t="e">
        <f t="shared" si="0"/>
        <v>#DIV/0!</v>
      </c>
    </row>
    <row r="44" spans="1:10" x14ac:dyDescent="0.3">
      <c r="A44" s="1">
        <f t="shared" si="1"/>
        <v>43</v>
      </c>
      <c r="B44" s="1" t="s">
        <v>163</v>
      </c>
      <c r="C44" s="1"/>
      <c r="D44" s="1" t="s">
        <v>68</v>
      </c>
      <c r="E44" s="1" t="s">
        <v>70</v>
      </c>
      <c r="F44" s="1" t="s">
        <v>161</v>
      </c>
      <c r="G44" s="1"/>
      <c r="H44" s="1"/>
      <c r="I44" s="1"/>
      <c r="J44" s="8" t="e">
        <f t="shared" si="0"/>
        <v>#DIV/0!</v>
      </c>
    </row>
    <row r="45" spans="1:10" x14ac:dyDescent="0.3">
      <c r="A45" s="1">
        <f t="shared" si="1"/>
        <v>44</v>
      </c>
      <c r="B45" s="1" t="s">
        <v>163</v>
      </c>
      <c r="C45" s="1"/>
      <c r="D45" s="1" t="s">
        <v>86</v>
      </c>
      <c r="E45" s="1" t="s">
        <v>164</v>
      </c>
      <c r="F45" s="1" t="s">
        <v>160</v>
      </c>
      <c r="G45" s="1"/>
      <c r="H45" s="1"/>
      <c r="I45" s="1"/>
      <c r="J45" s="8" t="e">
        <f t="shared" si="0"/>
        <v>#DIV/0!</v>
      </c>
    </row>
    <row r="46" spans="1:10" x14ac:dyDescent="0.3">
      <c r="A46" s="1">
        <f t="shared" si="1"/>
        <v>45</v>
      </c>
      <c r="B46" s="1" t="s">
        <v>165</v>
      </c>
      <c r="C46" s="1"/>
      <c r="D46" s="1" t="s">
        <v>86</v>
      </c>
      <c r="E46" s="1" t="s">
        <v>164</v>
      </c>
      <c r="F46" s="1" t="s">
        <v>160</v>
      </c>
      <c r="G46" s="1"/>
      <c r="H46" s="1"/>
      <c r="I46" s="1"/>
      <c r="J46" s="8" t="e">
        <f t="shared" si="0"/>
        <v>#DIV/0!</v>
      </c>
    </row>
    <row r="47" spans="1:10" x14ac:dyDescent="0.3">
      <c r="A47" s="1">
        <f t="shared" si="1"/>
        <v>46</v>
      </c>
      <c r="B47" s="1" t="s">
        <v>139</v>
      </c>
      <c r="C47" s="1"/>
      <c r="D47" s="1" t="s">
        <v>144</v>
      </c>
      <c r="E47" s="1" t="s">
        <v>130</v>
      </c>
      <c r="F47" s="1" t="s">
        <v>120</v>
      </c>
      <c r="G47" s="1"/>
      <c r="H47" s="1">
        <f>((250.42*0.0625)*4)+((98.13*4))</f>
        <v>455.125</v>
      </c>
      <c r="I47" s="1">
        <v>262.26</v>
      </c>
      <c r="J47" s="8">
        <f t="shared" si="0"/>
        <v>1.73539617173797</v>
      </c>
    </row>
    <row r="48" spans="1:10" x14ac:dyDescent="0.3">
      <c r="A48" s="1">
        <f t="shared" si="1"/>
        <v>47</v>
      </c>
      <c r="B48" s="1"/>
      <c r="C48" s="1"/>
      <c r="D48" s="1"/>
      <c r="E48" s="1"/>
      <c r="F48" s="1"/>
      <c r="G48" s="1"/>
      <c r="H48" s="1"/>
      <c r="I48" s="1"/>
      <c r="J48" s="8" t="e">
        <f t="shared" si="0"/>
        <v>#DIV/0!</v>
      </c>
    </row>
    <row r="49" spans="1:10" x14ac:dyDescent="0.3">
      <c r="A49" s="1">
        <f t="shared" si="1"/>
        <v>48</v>
      </c>
      <c r="B49" s="1"/>
      <c r="C49" s="1"/>
      <c r="D49" s="1"/>
      <c r="E49" s="1"/>
      <c r="F49" s="1"/>
      <c r="G49" s="1"/>
      <c r="H49" s="1"/>
      <c r="I49" s="1"/>
      <c r="J49" s="8" t="e">
        <f t="shared" si="0"/>
        <v>#DIV/0!</v>
      </c>
    </row>
    <row r="50" spans="1:10" x14ac:dyDescent="0.3">
      <c r="A50" s="1">
        <f t="shared" si="1"/>
        <v>49</v>
      </c>
    </row>
    <row r="51" spans="1:10" x14ac:dyDescent="0.3">
      <c r="A51" s="1">
        <f t="shared" si="1"/>
        <v>50</v>
      </c>
    </row>
    <row r="52" spans="1:10" x14ac:dyDescent="0.3">
      <c r="A52" s="1">
        <f t="shared" si="1"/>
        <v>51</v>
      </c>
    </row>
    <row r="53" spans="1:10" x14ac:dyDescent="0.3">
      <c r="A53" s="1">
        <f t="shared" si="1"/>
        <v>52</v>
      </c>
    </row>
    <row r="54" spans="1:10" x14ac:dyDescent="0.3">
      <c r="A54" s="1">
        <f t="shared" si="1"/>
        <v>53</v>
      </c>
    </row>
    <row r="55" spans="1:10" x14ac:dyDescent="0.3">
      <c r="A55" s="1">
        <f t="shared" si="1"/>
        <v>54</v>
      </c>
    </row>
  </sheetData>
  <dataValidations count="3">
    <dataValidation type="list" allowBlank="1" sqref="D1:D1048576" xr:uid="{B894C828-3A70-4A2C-96F4-4F1742A9BABE}">
      <formula1>"MDF,HDF,Birch,WhiteOak,Walnaut,Cherry,Alder,Maple"</formula1>
    </dataValidation>
    <dataValidation type="list" allowBlank="1" sqref="E1:E49 E56:E1048576 D50:D55" xr:uid="{3C4E81C9-F79C-4AB7-B7DD-EB01FFADF08C}">
      <formula1>"Mohawk,Evo,Envirolak"</formula1>
    </dataValidation>
    <dataValidation type="list" allowBlank="1" sqref="F2:F49 F56:F1000 E50:E55" xr:uid="{1914FF2B-0D4B-446A-9A69-DC8A6399F456}">
      <formula1>"Esmalte,Laca,Vinílica,Acrílica,Epóxica,Base,Barniz"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4F1F-2D58-43D9-9538-0CF713394F19}">
  <dimension ref="A1:I49"/>
  <sheetViews>
    <sheetView workbookViewId="0">
      <pane ySplit="1" topLeftCell="A2" activePane="bottomLeft" state="frozen"/>
      <selection activeCell="B1" sqref="B1"/>
      <selection pane="bottomLeft" activeCell="J39" sqref="J39"/>
    </sheetView>
  </sheetViews>
  <sheetFormatPr baseColWidth="10" defaultColWidth="8.88671875" defaultRowHeight="14.4" x14ac:dyDescent="0.3"/>
  <cols>
    <col min="1" max="2" width="17.77734375" bestFit="1" customWidth="1"/>
    <col min="3" max="6" width="17.77734375" customWidth="1"/>
    <col min="7" max="7" width="4.21875" customWidth="1"/>
    <col min="8" max="8" width="17.77734375" customWidth="1"/>
    <col min="9" max="9" width="11.77734375" customWidth="1"/>
  </cols>
  <sheetData>
    <row r="1" spans="1:9" x14ac:dyDescent="0.3">
      <c r="A1" s="10" t="s">
        <v>297</v>
      </c>
      <c r="B1" s="10" t="s">
        <v>170</v>
      </c>
      <c r="C1" s="10" t="s">
        <v>293</v>
      </c>
      <c r="D1" s="10" t="s">
        <v>294</v>
      </c>
      <c r="E1" s="10" t="s">
        <v>295</v>
      </c>
      <c r="F1" s="10" t="s">
        <v>296</v>
      </c>
      <c r="H1" s="10" t="s">
        <v>171</v>
      </c>
      <c r="I1" s="11" t="s">
        <v>283</v>
      </c>
    </row>
    <row r="2" spans="1:9" x14ac:dyDescent="0.3">
      <c r="A2" s="8" t="str" cm="1">
        <f t="array" ref="A2:A47">'Calculos Material'!B2:B47</f>
        <v>Jen Herself.</v>
      </c>
      <c r="B2" s="8">
        <f>('Calculos Material'!G2+'Calculos Material'!H2)/'Calculos Material'!I2</f>
        <v>0.41943109890947916</v>
      </c>
      <c r="C2" s="1">
        <v>0.25</v>
      </c>
      <c r="D2" s="1">
        <v>0.22</v>
      </c>
      <c r="E2" s="1">
        <v>0.21</v>
      </c>
      <c r="F2" s="1">
        <v>0.2</v>
      </c>
      <c r="H2" s="9">
        <f>(C2+D2+E2+F2)-B2</f>
        <v>0.46056890109052073</v>
      </c>
      <c r="I2" s="8">
        <f>H2</f>
        <v>0.46056890109052073</v>
      </c>
    </row>
    <row r="3" spans="1:9" x14ac:dyDescent="0.3">
      <c r="A3" s="8" t="str">
        <v>Dalerample</v>
      </c>
      <c r="B3" s="8" t="e">
        <f>('Calculos Material'!G3+'Calculos Material'!H3)/'Calculos Material'!I3</f>
        <v>#VALUE!</v>
      </c>
      <c r="C3" s="1"/>
      <c r="D3" s="1"/>
      <c r="E3" s="1"/>
      <c r="F3" s="1"/>
      <c r="H3" s="9" t="e">
        <f t="shared" ref="H3:H49" si="0">(C3+D3+E3+F3)-B3</f>
        <v>#VALUE!</v>
      </c>
      <c r="I3" s="8" t="e">
        <f t="shared" ref="I3:I49" si="1">H3</f>
        <v>#VALUE!</v>
      </c>
    </row>
    <row r="4" spans="1:9" x14ac:dyDescent="0.3">
      <c r="A4" s="8" t="str">
        <v>Via Romero</v>
      </c>
      <c r="B4" s="8" t="e">
        <f>('Calculos Material'!G4+'Calculos Material'!H4)/'Calculos Material'!I4</f>
        <v>#VALUE!</v>
      </c>
      <c r="C4" s="1"/>
      <c r="D4" s="1"/>
      <c r="E4" s="1"/>
      <c r="F4" s="1"/>
      <c r="H4" s="9" t="e">
        <f t="shared" si="0"/>
        <v>#VALUE!</v>
      </c>
      <c r="I4" s="8" t="e">
        <f t="shared" si="1"/>
        <v>#VALUE!</v>
      </c>
    </row>
    <row r="5" spans="1:9" x14ac:dyDescent="0.3">
      <c r="A5" s="8" t="str">
        <v>Hardinger</v>
      </c>
      <c r="B5" s="8" t="e">
        <f>('Calculos Material'!G5+'Calculos Material'!H5)/'Calculos Material'!I5</f>
        <v>#DIV/0!</v>
      </c>
      <c r="C5" s="1"/>
      <c r="D5" s="1"/>
      <c r="E5" s="1"/>
      <c r="F5" s="1"/>
      <c r="H5" s="9" t="e">
        <f t="shared" si="0"/>
        <v>#DIV/0!</v>
      </c>
      <c r="I5" s="8" t="e">
        <f t="shared" si="1"/>
        <v>#DIV/0!</v>
      </c>
    </row>
    <row r="6" spans="1:9" x14ac:dyDescent="0.3">
      <c r="A6" s="8" t="str">
        <v>Mahoney</v>
      </c>
      <c r="B6" s="8" t="e">
        <f>('Calculos Material'!G6+'Calculos Material'!H6)/'Calculos Material'!I6</f>
        <v>#DIV/0!</v>
      </c>
      <c r="C6" s="1"/>
      <c r="D6" s="1"/>
      <c r="E6" s="1"/>
      <c r="F6" s="1"/>
      <c r="H6" s="9" t="e">
        <f t="shared" si="0"/>
        <v>#DIV/0!</v>
      </c>
      <c r="I6" s="8" t="e">
        <f t="shared" si="1"/>
        <v>#DIV/0!</v>
      </c>
    </row>
    <row r="7" spans="1:9" x14ac:dyDescent="0.3">
      <c r="A7" s="8" t="str">
        <v>Juan</v>
      </c>
      <c r="B7" s="8" t="e">
        <f>('Calculos Material'!G7+'Calculos Material'!H7)/'Calculos Material'!I7</f>
        <v>#DIV/0!</v>
      </c>
      <c r="C7" s="1"/>
      <c r="D7" s="1"/>
      <c r="E7" s="1"/>
      <c r="F7" s="1"/>
      <c r="H7" s="9" t="e">
        <f t="shared" si="0"/>
        <v>#DIV/0!</v>
      </c>
      <c r="I7" s="8" t="e">
        <f t="shared" si="1"/>
        <v>#DIV/0!</v>
      </c>
    </row>
    <row r="8" spans="1:9" x14ac:dyDescent="0.3">
      <c r="A8" s="8" t="str">
        <v>Salvatierra</v>
      </c>
      <c r="B8" s="8" t="e">
        <f>('Calculos Material'!G8+'Calculos Material'!H8)/'Calculos Material'!I8</f>
        <v>#DIV/0!</v>
      </c>
      <c r="C8" s="1"/>
      <c r="D8" s="1"/>
      <c r="E8" s="1"/>
      <c r="F8" s="1"/>
      <c r="H8" s="9" t="e">
        <f t="shared" si="0"/>
        <v>#DIV/0!</v>
      </c>
      <c r="I8" s="8" t="e">
        <f t="shared" si="1"/>
        <v>#DIV/0!</v>
      </c>
    </row>
    <row r="9" spans="1:9" x14ac:dyDescent="0.3">
      <c r="A9" s="8" t="str">
        <v>Belesis</v>
      </c>
      <c r="B9" s="8" t="e">
        <f>('Calculos Material'!G9+'Calculos Material'!H9)/'Calculos Material'!I9</f>
        <v>#DIV/0!</v>
      </c>
      <c r="C9" s="1"/>
      <c r="D9" s="1"/>
      <c r="E9" s="1"/>
      <c r="F9" s="1"/>
      <c r="H9" s="9" t="e">
        <f t="shared" si="0"/>
        <v>#DIV/0!</v>
      </c>
      <c r="I9" s="8" t="e">
        <f t="shared" si="1"/>
        <v>#DIV/0!</v>
      </c>
    </row>
    <row r="10" spans="1:9" x14ac:dyDescent="0.3">
      <c r="A10" s="8" t="str">
        <v>Belesis</v>
      </c>
      <c r="B10" s="8" t="e">
        <f>('Calculos Material'!G10+'Calculos Material'!H10)/'Calculos Material'!I10</f>
        <v>#DIV/0!</v>
      </c>
      <c r="C10" s="1"/>
      <c r="D10" s="1"/>
      <c r="E10" s="1"/>
      <c r="F10" s="1"/>
      <c r="H10" s="9" t="e">
        <f t="shared" si="0"/>
        <v>#DIV/0!</v>
      </c>
      <c r="I10" s="8" t="e">
        <f t="shared" si="1"/>
        <v>#DIV/0!</v>
      </c>
    </row>
    <row r="11" spans="1:9" x14ac:dyDescent="0.3">
      <c r="A11" s="8" t="str">
        <v>Belagio</v>
      </c>
      <c r="B11" s="8" t="e">
        <f>('Calculos Material'!G11+'Calculos Material'!H11)/'Calculos Material'!I11</f>
        <v>#DIV/0!</v>
      </c>
      <c r="C11" s="1"/>
      <c r="D11" s="1"/>
      <c r="E11" s="1"/>
      <c r="F11" s="1"/>
      <c r="H11" s="9" t="e">
        <f t="shared" si="0"/>
        <v>#DIV/0!</v>
      </c>
      <c r="I11" s="8" t="e">
        <f t="shared" si="1"/>
        <v>#DIV/0!</v>
      </c>
    </row>
    <row r="12" spans="1:9" x14ac:dyDescent="0.3">
      <c r="A12" s="8" t="str">
        <v>Patrick</v>
      </c>
      <c r="B12" s="8" t="e">
        <f>('Calculos Material'!G12+'Calculos Material'!H12)/'Calculos Material'!I12</f>
        <v>#DIV/0!</v>
      </c>
      <c r="C12" s="1"/>
      <c r="D12" s="1"/>
      <c r="E12" s="1"/>
      <c r="F12" s="1"/>
      <c r="H12" s="9" t="e">
        <f t="shared" si="0"/>
        <v>#DIV/0!</v>
      </c>
      <c r="I12" s="8" t="e">
        <f t="shared" si="1"/>
        <v>#DIV/0!</v>
      </c>
    </row>
    <row r="13" spans="1:9" x14ac:dyDescent="0.3">
      <c r="A13" s="8" t="str">
        <v>Clarkin</v>
      </c>
      <c r="B13" s="8" t="e">
        <f>('Calculos Material'!G13+'Calculos Material'!H13)/'Calculos Material'!I13</f>
        <v>#DIV/0!</v>
      </c>
      <c r="C13" s="1"/>
      <c r="D13" s="1"/>
      <c r="E13" s="1"/>
      <c r="F13" s="1"/>
      <c r="H13" s="9" t="e">
        <f t="shared" si="0"/>
        <v>#DIV/0!</v>
      </c>
      <c r="I13" s="8" t="e">
        <f t="shared" si="1"/>
        <v>#DIV/0!</v>
      </c>
    </row>
    <row r="14" spans="1:9" x14ac:dyDescent="0.3">
      <c r="A14" s="8" t="str">
        <v>Sherman</v>
      </c>
      <c r="B14" s="8" t="e">
        <f>('Calculos Material'!G14+'Calculos Material'!H14)/'Calculos Material'!I14</f>
        <v>#DIV/0!</v>
      </c>
      <c r="C14" s="1"/>
      <c r="D14" s="1"/>
      <c r="E14" s="1"/>
      <c r="F14" s="1"/>
      <c r="H14" s="9" t="e">
        <f t="shared" si="0"/>
        <v>#DIV/0!</v>
      </c>
      <c r="I14" s="8" t="e">
        <f t="shared" si="1"/>
        <v>#DIV/0!</v>
      </c>
    </row>
    <row r="15" spans="1:9" x14ac:dyDescent="0.3">
      <c r="A15" s="8" t="str">
        <v>Brad</v>
      </c>
      <c r="B15" s="8" t="e">
        <f>('Calculos Material'!G15+'Calculos Material'!H15)/'Calculos Material'!I15</f>
        <v>#DIV/0!</v>
      </c>
      <c r="C15" s="1"/>
      <c r="D15" s="1"/>
      <c r="E15" s="1"/>
      <c r="F15" s="1"/>
      <c r="H15" s="9" t="e">
        <f t="shared" si="0"/>
        <v>#DIV/0!</v>
      </c>
      <c r="I15" s="8" t="e">
        <f t="shared" si="1"/>
        <v>#DIV/0!</v>
      </c>
    </row>
    <row r="16" spans="1:9" x14ac:dyDescent="0.3">
      <c r="A16" s="8" t="str">
        <v>Hubring</v>
      </c>
      <c r="B16" s="8" t="e">
        <f>('Calculos Material'!G16+'Calculos Material'!H16)/'Calculos Material'!I16</f>
        <v>#DIV/0!</v>
      </c>
      <c r="C16" s="1"/>
      <c r="D16" s="1"/>
      <c r="E16" s="1"/>
      <c r="F16" s="1"/>
      <c r="H16" s="9" t="e">
        <f t="shared" si="0"/>
        <v>#DIV/0!</v>
      </c>
      <c r="I16" s="8" t="e">
        <f t="shared" si="1"/>
        <v>#DIV/0!</v>
      </c>
    </row>
    <row r="17" spans="1:9" x14ac:dyDescent="0.3">
      <c r="A17" s="8" t="str">
        <v>Patrick</v>
      </c>
      <c r="B17" s="8" t="e">
        <f>('Calculos Material'!G17+'Calculos Material'!H17)/'Calculos Material'!I17</f>
        <v>#DIV/0!</v>
      </c>
      <c r="C17" s="1"/>
      <c r="D17" s="1"/>
      <c r="E17" s="1"/>
      <c r="F17" s="1"/>
      <c r="H17" s="9" t="e">
        <f t="shared" si="0"/>
        <v>#DIV/0!</v>
      </c>
      <c r="I17" s="8" t="e">
        <f t="shared" si="1"/>
        <v>#DIV/0!</v>
      </c>
    </row>
    <row r="18" spans="1:9" x14ac:dyDescent="0.3">
      <c r="A18" s="8" t="str">
        <v>Packtor</v>
      </c>
      <c r="B18" s="8" t="e">
        <f>('Calculos Material'!G18+'Calculos Material'!H18)/'Calculos Material'!I18</f>
        <v>#DIV/0!</v>
      </c>
      <c r="C18" s="1"/>
      <c r="D18" s="1"/>
      <c r="E18" s="1"/>
      <c r="F18" s="1"/>
      <c r="H18" s="9" t="e">
        <f t="shared" si="0"/>
        <v>#DIV/0!</v>
      </c>
      <c r="I18" s="8" t="e">
        <f t="shared" si="1"/>
        <v>#DIV/0!</v>
      </c>
    </row>
    <row r="19" spans="1:9" x14ac:dyDescent="0.3">
      <c r="A19" s="8" t="str">
        <v>Bellagio</v>
      </c>
      <c r="B19" s="8" t="e">
        <f>('Calculos Material'!G19+'Calculos Material'!H19)/'Calculos Material'!I19</f>
        <v>#DIV/0!</v>
      </c>
      <c r="C19" s="1"/>
      <c r="D19" s="1"/>
      <c r="E19" s="1"/>
      <c r="F19" s="1"/>
      <c r="H19" s="9" t="e">
        <f t="shared" si="0"/>
        <v>#DIV/0!</v>
      </c>
      <c r="I19" s="8" t="e">
        <f t="shared" si="1"/>
        <v>#DIV/0!</v>
      </c>
    </row>
    <row r="20" spans="1:9" x14ac:dyDescent="0.3">
      <c r="A20" s="8" t="str">
        <v>Stratigios</v>
      </c>
      <c r="B20" s="8" t="e">
        <f>('Calculos Material'!G20+'Calculos Material'!H20)/'Calculos Material'!I20</f>
        <v>#DIV/0!</v>
      </c>
      <c r="C20" s="1"/>
      <c r="D20" s="1"/>
      <c r="E20" s="1"/>
      <c r="F20" s="1"/>
      <c r="H20" s="9" t="e">
        <f t="shared" si="0"/>
        <v>#DIV/0!</v>
      </c>
      <c r="I20" s="8" t="e">
        <f t="shared" si="1"/>
        <v>#DIV/0!</v>
      </c>
    </row>
    <row r="21" spans="1:9" x14ac:dyDescent="0.3">
      <c r="A21" s="8" t="str">
        <v>San Francisco</v>
      </c>
      <c r="B21" s="8" t="e">
        <f>('Calculos Material'!G21+'Calculos Material'!H21)/'Calculos Material'!I21</f>
        <v>#DIV/0!</v>
      </c>
      <c r="C21" s="1"/>
      <c r="D21" s="1"/>
      <c r="E21" s="1"/>
      <c r="F21" s="1"/>
      <c r="H21" s="9" t="e">
        <f t="shared" si="0"/>
        <v>#DIV/0!</v>
      </c>
      <c r="I21" s="8" t="e">
        <f t="shared" si="1"/>
        <v>#DIV/0!</v>
      </c>
    </row>
    <row r="22" spans="1:9" x14ac:dyDescent="0.3">
      <c r="A22" s="8" t="str">
        <v>San Francisco</v>
      </c>
      <c r="B22" s="8" t="e">
        <f>('Calculos Material'!G22+'Calculos Material'!H22)/'Calculos Material'!I22</f>
        <v>#DIV/0!</v>
      </c>
      <c r="C22" s="1"/>
      <c r="D22" s="1"/>
      <c r="E22" s="1"/>
      <c r="F22" s="1"/>
      <c r="H22" s="9" t="e">
        <f t="shared" si="0"/>
        <v>#DIV/0!</v>
      </c>
      <c r="I22" s="8" t="e">
        <f t="shared" si="1"/>
        <v>#DIV/0!</v>
      </c>
    </row>
    <row r="23" spans="1:9" x14ac:dyDescent="0.3">
      <c r="A23" s="8" t="str">
        <v>Shaw</v>
      </c>
      <c r="B23" s="8" t="e">
        <f>('Calculos Material'!G23+'Calculos Material'!H23)/'Calculos Material'!I23</f>
        <v>#DIV/0!</v>
      </c>
      <c r="C23" s="1"/>
      <c r="D23" s="1"/>
      <c r="E23" s="1"/>
      <c r="F23" s="1"/>
      <c r="H23" s="9" t="e">
        <f t="shared" si="0"/>
        <v>#DIV/0!</v>
      </c>
      <c r="I23" s="8" t="e">
        <f t="shared" si="1"/>
        <v>#DIV/0!</v>
      </c>
    </row>
    <row r="24" spans="1:9" x14ac:dyDescent="0.3">
      <c r="A24" s="8" t="str">
        <v>Jura</v>
      </c>
      <c r="B24" s="8" t="e">
        <f>('Calculos Material'!G24+'Calculos Material'!H24)/'Calculos Material'!I24</f>
        <v>#DIV/0!</v>
      </c>
      <c r="C24" s="1"/>
      <c r="D24" s="1"/>
      <c r="E24" s="1"/>
      <c r="F24" s="1"/>
      <c r="H24" s="9" t="e">
        <f t="shared" si="0"/>
        <v>#DIV/0!</v>
      </c>
      <c r="I24" s="8" t="e">
        <f t="shared" si="1"/>
        <v>#DIV/0!</v>
      </c>
    </row>
    <row r="25" spans="1:9" x14ac:dyDescent="0.3">
      <c r="A25" s="8" t="str">
        <v>Jura</v>
      </c>
      <c r="B25" s="8" t="e">
        <f>('Calculos Material'!G25+'Calculos Material'!H25)/'Calculos Material'!I25</f>
        <v>#DIV/0!</v>
      </c>
      <c r="C25" s="1"/>
      <c r="D25" s="1"/>
      <c r="E25" s="1"/>
      <c r="F25" s="1"/>
      <c r="H25" s="9" t="e">
        <f t="shared" si="0"/>
        <v>#DIV/0!</v>
      </c>
      <c r="I25" s="8" t="e">
        <f t="shared" si="1"/>
        <v>#DIV/0!</v>
      </c>
    </row>
    <row r="26" spans="1:9" x14ac:dyDescent="0.3">
      <c r="A26" s="8" t="str">
        <v>Emtage</v>
      </c>
      <c r="B26" s="8" t="e">
        <f>('Calculos Material'!G26+'Calculos Material'!H26)/'Calculos Material'!I26</f>
        <v>#DIV/0!</v>
      </c>
      <c r="C26" s="1"/>
      <c r="D26" s="1"/>
      <c r="E26" s="1"/>
      <c r="F26" s="1"/>
      <c r="H26" s="9" t="e">
        <f t="shared" si="0"/>
        <v>#DIV/0!</v>
      </c>
      <c r="I26" s="8" t="e">
        <f t="shared" si="1"/>
        <v>#DIV/0!</v>
      </c>
    </row>
    <row r="27" spans="1:9" x14ac:dyDescent="0.3">
      <c r="A27" s="8" t="str">
        <v>Belesis</v>
      </c>
      <c r="B27" s="8" t="e">
        <f>('Calculos Material'!G27+'Calculos Material'!H27)/'Calculos Material'!I27</f>
        <v>#DIV/0!</v>
      </c>
      <c r="C27" s="1"/>
      <c r="D27" s="1"/>
      <c r="E27" s="1"/>
      <c r="F27" s="1"/>
      <c r="H27" s="9" t="e">
        <f t="shared" si="0"/>
        <v>#DIV/0!</v>
      </c>
      <c r="I27" s="8" t="e">
        <f t="shared" si="1"/>
        <v>#DIV/0!</v>
      </c>
    </row>
    <row r="28" spans="1:9" x14ac:dyDescent="0.3">
      <c r="A28" s="8" t="str">
        <v>Jura</v>
      </c>
      <c r="B28" s="8" t="e">
        <f>('Calculos Material'!G28+'Calculos Material'!H28)/'Calculos Material'!I28</f>
        <v>#DIV/0!</v>
      </c>
      <c r="C28" s="1"/>
      <c r="D28" s="1"/>
      <c r="E28" s="1"/>
      <c r="F28" s="1"/>
      <c r="H28" s="9" t="e">
        <f t="shared" si="0"/>
        <v>#DIV/0!</v>
      </c>
      <c r="I28" s="8" t="e">
        <f t="shared" si="1"/>
        <v>#DIV/0!</v>
      </c>
    </row>
    <row r="29" spans="1:9" x14ac:dyDescent="0.3">
      <c r="A29" s="8" t="str">
        <v>Maihorana</v>
      </c>
      <c r="B29" s="8" t="e">
        <f>('Calculos Material'!G29+'Calculos Material'!H29)/'Calculos Material'!I29</f>
        <v>#DIV/0!</v>
      </c>
      <c r="C29" s="1"/>
      <c r="D29" s="1"/>
      <c r="E29" s="1"/>
      <c r="F29" s="1"/>
      <c r="H29" s="9" t="e">
        <f t="shared" si="0"/>
        <v>#DIV/0!</v>
      </c>
      <c r="I29" s="8" t="e">
        <f t="shared" si="1"/>
        <v>#DIV/0!</v>
      </c>
    </row>
    <row r="30" spans="1:9" x14ac:dyDescent="0.3">
      <c r="A30" s="8" t="str">
        <v>Braker</v>
      </c>
      <c r="B30" s="8" t="e">
        <f>('Calculos Material'!G30+'Calculos Material'!H30)/'Calculos Material'!I30</f>
        <v>#DIV/0!</v>
      </c>
      <c r="C30" s="1"/>
      <c r="D30" s="1"/>
      <c r="E30" s="1"/>
      <c r="F30" s="1"/>
      <c r="H30" s="9" t="e">
        <f t="shared" si="0"/>
        <v>#DIV/0!</v>
      </c>
      <c r="I30" s="8" t="e">
        <f t="shared" si="1"/>
        <v>#DIV/0!</v>
      </c>
    </row>
    <row r="31" spans="1:9" x14ac:dyDescent="0.3">
      <c r="A31" s="8" t="str">
        <v>Braker</v>
      </c>
      <c r="B31" s="8" t="e">
        <f>('Calculos Material'!G31+'Calculos Material'!H31)/'Calculos Material'!I31</f>
        <v>#DIV/0!</v>
      </c>
      <c r="C31" s="1"/>
      <c r="D31" s="1"/>
      <c r="E31" s="1"/>
      <c r="F31" s="1"/>
      <c r="H31" s="9" t="e">
        <f t="shared" si="0"/>
        <v>#DIV/0!</v>
      </c>
      <c r="I31" s="8" t="e">
        <f t="shared" si="1"/>
        <v>#DIV/0!</v>
      </c>
    </row>
    <row r="32" spans="1:9" x14ac:dyDescent="0.3">
      <c r="A32" s="8" t="str">
        <v>Braker</v>
      </c>
      <c r="B32" s="8" t="e">
        <f>('Calculos Material'!G32+'Calculos Material'!H32)/'Calculos Material'!I32</f>
        <v>#DIV/0!</v>
      </c>
      <c r="C32" s="1"/>
      <c r="D32" s="1"/>
      <c r="E32" s="1"/>
      <c r="F32" s="1"/>
      <c r="H32" s="9" t="e">
        <f t="shared" si="0"/>
        <v>#DIV/0!</v>
      </c>
      <c r="I32" s="8" t="e">
        <f t="shared" si="1"/>
        <v>#DIV/0!</v>
      </c>
    </row>
    <row r="33" spans="1:9" x14ac:dyDescent="0.3">
      <c r="A33" s="8" t="str">
        <v>Braker</v>
      </c>
      <c r="B33" s="8" t="e">
        <f>('Calculos Material'!G33+'Calculos Material'!H33)/'Calculos Material'!I33</f>
        <v>#DIV/0!</v>
      </c>
      <c r="C33" s="1"/>
      <c r="D33" s="1"/>
      <c r="E33" s="1"/>
      <c r="F33" s="1"/>
      <c r="H33" s="9" t="e">
        <f t="shared" si="0"/>
        <v>#DIV/0!</v>
      </c>
      <c r="I33" s="8" t="e">
        <f t="shared" si="1"/>
        <v>#DIV/0!</v>
      </c>
    </row>
    <row r="34" spans="1:9" x14ac:dyDescent="0.3">
      <c r="A34" s="8" t="str">
        <v>Braker</v>
      </c>
      <c r="B34" s="8" t="e">
        <f>('Calculos Material'!G34+'Calculos Material'!H34)/'Calculos Material'!I34</f>
        <v>#DIV/0!</v>
      </c>
      <c r="C34" s="1"/>
      <c r="D34" s="1"/>
      <c r="E34" s="1"/>
      <c r="F34" s="1"/>
      <c r="H34" s="9" t="e">
        <f t="shared" si="0"/>
        <v>#DIV/0!</v>
      </c>
      <c r="I34" s="8" t="e">
        <f t="shared" si="1"/>
        <v>#DIV/0!</v>
      </c>
    </row>
    <row r="35" spans="1:9" x14ac:dyDescent="0.3">
      <c r="A35" s="8" t="str">
        <v>Burton</v>
      </c>
      <c r="B35" s="8" t="e">
        <f>('Calculos Material'!G35+'Calculos Material'!H35)/'Calculos Material'!I35</f>
        <v>#DIV/0!</v>
      </c>
      <c r="C35" s="1"/>
      <c r="D35" s="1"/>
      <c r="E35" s="1"/>
      <c r="F35" s="1"/>
      <c r="H35" s="9" t="e">
        <f t="shared" si="0"/>
        <v>#DIV/0!</v>
      </c>
      <c r="I35" s="8" t="e">
        <f t="shared" si="1"/>
        <v>#DIV/0!</v>
      </c>
    </row>
    <row r="36" spans="1:9" x14ac:dyDescent="0.3">
      <c r="A36" s="8" t="str">
        <v>Belesis</v>
      </c>
      <c r="B36" s="8" t="e">
        <f>('Calculos Material'!G36+'Calculos Material'!H36)/'Calculos Material'!I36</f>
        <v>#DIV/0!</v>
      </c>
      <c r="C36" s="1"/>
      <c r="D36" s="1"/>
      <c r="E36" s="1"/>
      <c r="F36" s="1"/>
      <c r="H36" s="9" t="e">
        <f t="shared" si="0"/>
        <v>#DIV/0!</v>
      </c>
      <c r="I36" s="8" t="e">
        <f t="shared" si="1"/>
        <v>#DIV/0!</v>
      </c>
    </row>
    <row r="37" spans="1:9" x14ac:dyDescent="0.3">
      <c r="A37" s="8" t="str">
        <v>Juan Farias</v>
      </c>
      <c r="B37" s="8" t="e">
        <f>('Calculos Material'!G37+'Calculos Material'!H37)/'Calculos Material'!I37</f>
        <v>#DIV/0!</v>
      </c>
      <c r="C37" s="1"/>
      <c r="D37" s="1"/>
      <c r="E37" s="1"/>
      <c r="F37" s="1"/>
      <c r="H37" s="9" t="e">
        <f t="shared" si="0"/>
        <v>#DIV/0!</v>
      </c>
      <c r="I37" s="8" t="e">
        <f t="shared" si="1"/>
        <v>#DIV/0!</v>
      </c>
    </row>
    <row r="38" spans="1:9" x14ac:dyDescent="0.3">
      <c r="A38" s="8" t="str">
        <v>BlackWell</v>
      </c>
      <c r="B38" s="8" t="e">
        <f>('Calculos Material'!G38+'Calculos Material'!H38)/'Calculos Material'!I38</f>
        <v>#DIV/0!</v>
      </c>
      <c r="C38" s="1"/>
      <c r="D38" s="1"/>
      <c r="E38" s="1"/>
      <c r="F38" s="1"/>
      <c r="H38" s="9" t="e">
        <f t="shared" si="0"/>
        <v>#DIV/0!</v>
      </c>
      <c r="I38" s="8" t="e">
        <f t="shared" si="1"/>
        <v>#DIV/0!</v>
      </c>
    </row>
    <row r="39" spans="1:9" x14ac:dyDescent="0.3">
      <c r="A39" s="8" t="str">
        <v>BlackWell</v>
      </c>
      <c r="B39" s="8" t="e">
        <f>('Calculos Material'!G39+'Calculos Material'!H39)/'Calculos Material'!I39</f>
        <v>#DIV/0!</v>
      </c>
      <c r="C39" s="1"/>
      <c r="D39" s="1"/>
      <c r="E39" s="1"/>
      <c r="F39" s="1"/>
      <c r="H39" s="9" t="e">
        <f t="shared" si="0"/>
        <v>#DIV/0!</v>
      </c>
      <c r="I39" s="8" t="e">
        <f t="shared" si="1"/>
        <v>#DIV/0!</v>
      </c>
    </row>
    <row r="40" spans="1:9" x14ac:dyDescent="0.3">
      <c r="A40" s="8" t="str">
        <v xml:space="preserve">Via Romero </v>
      </c>
      <c r="B40" s="8" t="e">
        <f>('Calculos Material'!G40+'Calculos Material'!H40)/'Calculos Material'!I40</f>
        <v>#DIV/0!</v>
      </c>
      <c r="C40" s="1"/>
      <c r="D40" s="1"/>
      <c r="E40" s="1"/>
      <c r="F40" s="1"/>
      <c r="H40" s="9" t="e">
        <f t="shared" si="0"/>
        <v>#DIV/0!</v>
      </c>
      <c r="I40" s="8" t="e">
        <f t="shared" si="1"/>
        <v>#DIV/0!</v>
      </c>
    </row>
    <row r="41" spans="1:9" x14ac:dyDescent="0.3">
      <c r="A41" s="8" t="str">
        <v>Aravind</v>
      </c>
      <c r="B41" s="8" t="e">
        <f>('Calculos Material'!G41+'Calculos Material'!H41)/'Calculos Material'!I41</f>
        <v>#DIV/0!</v>
      </c>
      <c r="C41" s="1"/>
      <c r="D41" s="1"/>
      <c r="E41" s="1"/>
      <c r="F41" s="1"/>
      <c r="H41" s="9" t="e">
        <f t="shared" si="0"/>
        <v>#DIV/0!</v>
      </c>
      <c r="I41" s="8" t="e">
        <f t="shared" si="1"/>
        <v>#DIV/0!</v>
      </c>
    </row>
    <row r="42" spans="1:9" x14ac:dyDescent="0.3">
      <c r="A42" s="8" t="str">
        <v>Aravind</v>
      </c>
      <c r="B42" s="8" t="e">
        <f>('Calculos Material'!G42+'Calculos Material'!H42)/'Calculos Material'!I42</f>
        <v>#DIV/0!</v>
      </c>
      <c r="C42" s="1"/>
      <c r="D42" s="1"/>
      <c r="E42" s="1"/>
      <c r="F42" s="1"/>
      <c r="H42" s="9" t="e">
        <f t="shared" si="0"/>
        <v>#DIV/0!</v>
      </c>
      <c r="I42" s="8" t="e">
        <f t="shared" si="1"/>
        <v>#DIV/0!</v>
      </c>
    </row>
    <row r="43" spans="1:9" x14ac:dyDescent="0.3">
      <c r="A43" s="8" t="str">
        <v>Eucalyptus</v>
      </c>
      <c r="B43" s="8" t="e">
        <f>('Calculos Material'!G43+'Calculos Material'!H43)/'Calculos Material'!I43</f>
        <v>#DIV/0!</v>
      </c>
      <c r="C43" s="1"/>
      <c r="D43" s="1"/>
      <c r="E43" s="1"/>
      <c r="F43" s="1"/>
      <c r="H43" s="9" t="e">
        <f t="shared" si="0"/>
        <v>#DIV/0!</v>
      </c>
      <c r="I43" s="8" t="e">
        <f t="shared" si="1"/>
        <v>#DIV/0!</v>
      </c>
    </row>
    <row r="44" spans="1:9" x14ac:dyDescent="0.3">
      <c r="A44" s="8" t="str">
        <v>Liane</v>
      </c>
      <c r="B44" s="8" t="e">
        <f>('Calculos Material'!G44+'Calculos Material'!H44)/'Calculos Material'!I44</f>
        <v>#DIV/0!</v>
      </c>
      <c r="C44" s="1"/>
      <c r="D44" s="1"/>
      <c r="E44" s="1"/>
      <c r="F44" s="1"/>
      <c r="H44" s="9" t="e">
        <f t="shared" si="0"/>
        <v>#DIV/0!</v>
      </c>
      <c r="I44" s="8" t="e">
        <f t="shared" si="1"/>
        <v>#DIV/0!</v>
      </c>
    </row>
    <row r="45" spans="1:9" x14ac:dyDescent="0.3">
      <c r="A45" s="8" t="str">
        <v>Liane</v>
      </c>
      <c r="B45" s="8" t="e">
        <f>('Calculos Material'!G45+'Calculos Material'!H45)/'Calculos Material'!I45</f>
        <v>#DIV/0!</v>
      </c>
      <c r="C45" s="1"/>
      <c r="D45" s="1"/>
      <c r="E45" s="1"/>
      <c r="F45" s="1"/>
      <c r="H45" s="9" t="e">
        <f t="shared" si="0"/>
        <v>#DIV/0!</v>
      </c>
      <c r="I45" s="8" t="e">
        <f t="shared" si="1"/>
        <v>#DIV/0!</v>
      </c>
    </row>
    <row r="46" spans="1:9" x14ac:dyDescent="0.3">
      <c r="A46" s="8" t="str">
        <v>Harrison</v>
      </c>
      <c r="B46" s="8" t="e">
        <f>('Calculos Material'!G46+'Calculos Material'!H46)/'Calculos Material'!I46</f>
        <v>#DIV/0!</v>
      </c>
      <c r="C46" s="1"/>
      <c r="D46" s="1"/>
      <c r="E46" s="1"/>
      <c r="F46" s="1"/>
      <c r="H46" s="9" t="e">
        <f t="shared" si="0"/>
        <v>#DIV/0!</v>
      </c>
      <c r="I46" s="8" t="e">
        <f t="shared" si="1"/>
        <v>#DIV/0!</v>
      </c>
    </row>
    <row r="47" spans="1:9" x14ac:dyDescent="0.3">
      <c r="A47" s="8" t="str">
        <v>Braker</v>
      </c>
      <c r="B47" s="8">
        <f>('Calculos Material'!G47+'Calculos Material'!H47)/'Calculos Material'!I47</f>
        <v>1.73539617173797</v>
      </c>
      <c r="C47" s="1">
        <v>3</v>
      </c>
      <c r="D47" s="1">
        <v>1.8</v>
      </c>
      <c r="E47" s="1">
        <v>2</v>
      </c>
      <c r="F47" s="1">
        <v>2</v>
      </c>
      <c r="H47" s="9">
        <f t="shared" si="0"/>
        <v>7.0646038282620305</v>
      </c>
      <c r="I47" s="8">
        <f t="shared" si="1"/>
        <v>7.0646038282620305</v>
      </c>
    </row>
    <row r="48" spans="1:9" x14ac:dyDescent="0.3">
      <c r="A48" s="8"/>
      <c r="B48" s="8" t="e">
        <f>('Calculos Material'!G48+'Calculos Material'!H48)/'Calculos Material'!I48</f>
        <v>#DIV/0!</v>
      </c>
      <c r="C48" s="1"/>
      <c r="D48" s="1"/>
      <c r="E48" s="1"/>
      <c r="F48" s="1"/>
      <c r="H48" s="9" t="e">
        <f t="shared" si="0"/>
        <v>#DIV/0!</v>
      </c>
      <c r="I48" s="8" t="e">
        <f t="shared" si="1"/>
        <v>#DIV/0!</v>
      </c>
    </row>
    <row r="49" spans="1:9" x14ac:dyDescent="0.3">
      <c r="A49" s="8"/>
      <c r="B49" s="8" t="e">
        <f>('Calculos Material'!G49+'Calculos Material'!H49)/'Calculos Material'!I49</f>
        <v>#DIV/0!</v>
      </c>
      <c r="C49" s="1"/>
      <c r="D49" s="1"/>
      <c r="E49" s="1"/>
      <c r="F49" s="1"/>
      <c r="H49" s="9" t="e">
        <f t="shared" si="0"/>
        <v>#DIV/0!</v>
      </c>
      <c r="I49" s="8" t="e">
        <f t="shared" si="1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E7AD-BB73-4A37-A741-9C8CC9C1BD86}">
  <dimension ref="A1:L52"/>
  <sheetViews>
    <sheetView zoomScale="87" zoomScaleNormal="87" workbookViewId="0">
      <pane ySplit="2" topLeftCell="A3" activePane="bottomLeft" state="frozen"/>
      <selection pane="bottomLeft" activeCell="G18" sqref="G18"/>
    </sheetView>
  </sheetViews>
  <sheetFormatPr baseColWidth="10" defaultColWidth="8.88671875" defaultRowHeight="13.8" x14ac:dyDescent="0.25"/>
  <cols>
    <col min="1" max="1" width="15" style="14" customWidth="1"/>
    <col min="2" max="2" width="16" style="13" customWidth="1"/>
    <col min="3" max="3" width="27.33203125" style="13" customWidth="1"/>
    <col min="4" max="4" width="16.6640625" style="13" customWidth="1"/>
    <col min="5" max="5" width="12.5546875" style="13" customWidth="1"/>
    <col min="6" max="6" width="17.5546875" style="13" customWidth="1"/>
    <col min="7" max="7" width="17" style="60" customWidth="1"/>
    <col min="8" max="8" width="16.88671875" style="13" bestFit="1" customWidth="1"/>
    <col min="9" max="9" width="18" style="13" bestFit="1" customWidth="1"/>
    <col min="10" max="10" width="15" style="13" customWidth="1"/>
    <col min="11" max="11" width="4.5546875" style="13" customWidth="1"/>
    <col min="12" max="12" width="10.77734375" style="13" customWidth="1"/>
    <col min="13" max="16384" width="8.88671875" style="13"/>
  </cols>
  <sheetData>
    <row r="1" spans="1:12" ht="33.6" customHeight="1" x14ac:dyDescent="0.25">
      <c r="A1" s="98" t="s">
        <v>409</v>
      </c>
      <c r="B1" s="98"/>
      <c r="C1" s="98"/>
      <c r="D1" s="98"/>
      <c r="E1" s="98"/>
      <c r="F1" s="98"/>
      <c r="G1" s="98"/>
      <c r="H1" s="98"/>
      <c r="I1" s="98"/>
      <c r="J1" s="98"/>
    </row>
    <row r="2" spans="1:12" ht="25.8" customHeight="1" x14ac:dyDescent="0.25">
      <c r="A2" s="82" t="s">
        <v>221</v>
      </c>
      <c r="B2" s="82" t="s">
        <v>5</v>
      </c>
      <c r="C2" s="82" t="s">
        <v>222</v>
      </c>
      <c r="D2" s="82" t="s">
        <v>7</v>
      </c>
      <c r="E2" s="82" t="s">
        <v>8</v>
      </c>
      <c r="F2" s="82" t="s">
        <v>229</v>
      </c>
      <c r="G2" s="83" t="s">
        <v>223</v>
      </c>
      <c r="H2" s="82" t="s">
        <v>219</v>
      </c>
      <c r="I2" s="82" t="s">
        <v>224</v>
      </c>
      <c r="J2" s="82" t="s">
        <v>9</v>
      </c>
    </row>
    <row r="3" spans="1:12" x14ac:dyDescent="0.25">
      <c r="A3" s="66">
        <v>1</v>
      </c>
      <c r="B3" s="74" t="s">
        <v>235</v>
      </c>
      <c r="C3" s="74" t="s">
        <v>236</v>
      </c>
      <c r="D3" s="74" t="s">
        <v>248</v>
      </c>
      <c r="E3" s="74" t="s">
        <v>269</v>
      </c>
      <c r="F3" s="74">
        <v>1.25</v>
      </c>
      <c r="G3" s="81">
        <f>SUMIF('Inventario E-S'!C:C, C3, 'Inventario E-S'!D:D) - SUMIF('Inventario E-S'!C:C, C3, 'Inventario E-S'!E:E)+F3</f>
        <v>2.25</v>
      </c>
      <c r="H3" s="74" t="s">
        <v>345</v>
      </c>
      <c r="I3" s="74">
        <v>0.25</v>
      </c>
      <c r="J3" s="74" t="str">
        <f>IF(G3&lt;=0,"🔴 AGOTADO",IF(G3&lt;=I3,"⚠️ BAJO","✅ OK"))</f>
        <v>✅ OK</v>
      </c>
    </row>
    <row r="4" spans="1:12" x14ac:dyDescent="0.25">
      <c r="A4" s="18">
        <f>A3+1</f>
        <v>2</v>
      </c>
      <c r="B4" s="17" t="s">
        <v>235</v>
      </c>
      <c r="C4" s="17" t="s">
        <v>242</v>
      </c>
      <c r="D4" s="17" t="s">
        <v>238</v>
      </c>
      <c r="E4" s="17" t="s">
        <v>254</v>
      </c>
      <c r="F4" s="17">
        <v>2</v>
      </c>
      <c r="G4" s="58">
        <f>SUMIF('Inventario E-S'!C:C, C4, 'Inventario E-S'!D:D) - SUMIF('Inventario E-S'!C:C, C4, 'Inventario E-S'!E:E)+F4</f>
        <v>7</v>
      </c>
      <c r="H4" s="17"/>
      <c r="I4" s="17">
        <f>I3+1</f>
        <v>1.25</v>
      </c>
      <c r="J4" s="17" t="str">
        <f t="shared" ref="J4:J52" si="0">IF(G4&lt;=0,"🔴 AGOTADO",IF(G4&lt;=I4,"⚠️ BAJO","✅ OK"))</f>
        <v>✅ OK</v>
      </c>
    </row>
    <row r="5" spans="1:12" x14ac:dyDescent="0.25">
      <c r="A5" s="18">
        <f t="shared" ref="A5:A52" si="1">A4+1</f>
        <v>3</v>
      </c>
      <c r="B5" s="17" t="s">
        <v>235</v>
      </c>
      <c r="C5" s="17" t="s">
        <v>242</v>
      </c>
      <c r="D5" s="17" t="s">
        <v>239</v>
      </c>
      <c r="E5" s="17" t="s">
        <v>254</v>
      </c>
      <c r="F5" s="17">
        <v>0</v>
      </c>
      <c r="G5" s="58">
        <f>SUMIF('Inventario E-S'!C:C, C5, 'Inventario E-S'!D:D) - SUMIF('Inventario E-S'!C:C, C5, 'Inventario E-S'!E:E)+F5</f>
        <v>5</v>
      </c>
      <c r="H5" s="17"/>
      <c r="I5" s="17">
        <f t="shared" ref="I5:I52" si="2">I4+1</f>
        <v>2.25</v>
      </c>
      <c r="J5" s="17" t="str">
        <f t="shared" si="0"/>
        <v>✅ OK</v>
      </c>
      <c r="L5" s="13" t="s">
        <v>231</v>
      </c>
    </row>
    <row r="6" spans="1:12" x14ac:dyDescent="0.25">
      <c r="A6" s="18">
        <f t="shared" si="1"/>
        <v>4</v>
      </c>
      <c r="B6" s="17" t="s">
        <v>235</v>
      </c>
      <c r="C6" s="17" t="s">
        <v>237</v>
      </c>
      <c r="D6" s="17" t="s">
        <v>247</v>
      </c>
      <c r="E6" s="17" t="s">
        <v>254</v>
      </c>
      <c r="F6" s="17">
        <v>2</v>
      </c>
      <c r="G6" s="58">
        <f>SUMIF('Inventario E-S'!C:C, C6, 'Inventario E-S'!D:D) - SUMIF('Inventario E-S'!C:C, C6, 'Inventario E-S'!E:E)+F6</f>
        <v>12</v>
      </c>
      <c r="H6" s="17"/>
      <c r="I6" s="17">
        <f t="shared" si="2"/>
        <v>3.25</v>
      </c>
      <c r="J6" s="17" t="str">
        <f t="shared" si="0"/>
        <v>✅ OK</v>
      </c>
      <c r="L6" s="13" t="s">
        <v>232</v>
      </c>
    </row>
    <row r="7" spans="1:12" x14ac:dyDescent="0.25">
      <c r="A7" s="18">
        <f t="shared" si="1"/>
        <v>5</v>
      </c>
      <c r="B7" s="17" t="s">
        <v>235</v>
      </c>
      <c r="C7" s="17" t="s">
        <v>243</v>
      </c>
      <c r="D7" s="17" t="s">
        <v>240</v>
      </c>
      <c r="E7" s="17" t="s">
        <v>254</v>
      </c>
      <c r="F7" s="17">
        <v>4</v>
      </c>
      <c r="G7" s="58">
        <f>SUMIF('Inventario E-S'!C:C, C7, 'Inventario E-S'!D:D) - SUMIF('Inventario E-S'!C:C, C7, 'Inventario E-S'!E:E)+F7</f>
        <v>4</v>
      </c>
      <c r="H7" s="17"/>
      <c r="I7" s="17">
        <f t="shared" si="2"/>
        <v>4.25</v>
      </c>
      <c r="J7" s="17" t="str">
        <f t="shared" si="0"/>
        <v>⚠️ BAJO</v>
      </c>
    </row>
    <row r="8" spans="1:12" x14ac:dyDescent="0.25">
      <c r="A8" s="18">
        <f t="shared" si="1"/>
        <v>6</v>
      </c>
      <c r="B8" s="17" t="s">
        <v>235</v>
      </c>
      <c r="C8" s="17" t="s">
        <v>243</v>
      </c>
      <c r="D8" s="17" t="s">
        <v>241</v>
      </c>
      <c r="E8" s="17" t="s">
        <v>254</v>
      </c>
      <c r="F8" s="17">
        <v>4</v>
      </c>
      <c r="G8" s="58">
        <f>SUMIF('Inventario E-S'!C:C, C8, 'Inventario E-S'!D:D) - SUMIF('Inventario E-S'!C:C, C8, 'Inventario E-S'!E:E)+F8</f>
        <v>4</v>
      </c>
      <c r="H8" s="17"/>
      <c r="I8" s="17">
        <f t="shared" si="2"/>
        <v>5.25</v>
      </c>
      <c r="J8" s="17" t="str">
        <f t="shared" si="0"/>
        <v>⚠️ BAJO</v>
      </c>
    </row>
    <row r="9" spans="1:12" x14ac:dyDescent="0.25">
      <c r="A9" s="18">
        <f t="shared" si="1"/>
        <v>7</v>
      </c>
      <c r="B9" s="17" t="s">
        <v>235</v>
      </c>
      <c r="C9" s="17" t="s">
        <v>244</v>
      </c>
      <c r="D9" s="13">
        <v>150</v>
      </c>
      <c r="E9" s="17" t="s">
        <v>254</v>
      </c>
      <c r="F9" s="17">
        <v>40</v>
      </c>
      <c r="G9" s="58">
        <f>SUMIF('Inventario E-S'!C:C, C9, 'Inventario E-S'!D:D) - SUMIF('Inventario E-S'!C:C, C9, 'Inventario E-S'!E:E)+F9</f>
        <v>40</v>
      </c>
      <c r="H9" s="17"/>
      <c r="I9" s="17">
        <f t="shared" si="2"/>
        <v>6.25</v>
      </c>
      <c r="J9" s="17" t="str">
        <f t="shared" si="0"/>
        <v>✅ OK</v>
      </c>
    </row>
    <row r="10" spans="1:12" x14ac:dyDescent="0.25">
      <c r="A10" s="18">
        <f t="shared" si="1"/>
        <v>8</v>
      </c>
      <c r="B10" s="17" t="s">
        <v>235</v>
      </c>
      <c r="C10" s="17" t="s">
        <v>244</v>
      </c>
      <c r="D10" s="17">
        <v>220</v>
      </c>
      <c r="E10" s="17" t="s">
        <v>254</v>
      </c>
      <c r="F10" s="17">
        <v>40</v>
      </c>
      <c r="G10" s="58">
        <f>SUMIF('Inventario E-S'!C:C, C10, 'Inventario E-S'!D:D) - SUMIF('Inventario E-S'!C:C, C10, 'Inventario E-S'!E:E)+F10</f>
        <v>40</v>
      </c>
      <c r="H10" s="17"/>
      <c r="I10" s="17">
        <f t="shared" si="2"/>
        <v>7.25</v>
      </c>
      <c r="J10" s="17" t="str">
        <f t="shared" si="0"/>
        <v>✅ OK</v>
      </c>
      <c r="L10" s="13" t="s">
        <v>233</v>
      </c>
    </row>
    <row r="11" spans="1:12" x14ac:dyDescent="0.25">
      <c r="A11" s="18">
        <f t="shared" si="1"/>
        <v>9</v>
      </c>
      <c r="B11" s="17" t="s">
        <v>235</v>
      </c>
      <c r="C11" s="17" t="s">
        <v>244</v>
      </c>
      <c r="D11" s="17">
        <v>320</v>
      </c>
      <c r="E11" s="17" t="s">
        <v>254</v>
      </c>
      <c r="F11" s="17">
        <v>40</v>
      </c>
      <c r="G11" s="58">
        <f>SUMIF('Inventario E-S'!C:C, C11, 'Inventario E-S'!D:D) - SUMIF('Inventario E-S'!C:C, C11, 'Inventario E-S'!E:E)+F11</f>
        <v>40</v>
      </c>
      <c r="H11" s="17"/>
      <c r="I11" s="17">
        <f t="shared" si="2"/>
        <v>8.25</v>
      </c>
      <c r="J11" s="17" t="str">
        <f t="shared" si="0"/>
        <v>✅ OK</v>
      </c>
      <c r="L11" s="13" t="s">
        <v>234</v>
      </c>
    </row>
    <row r="12" spans="1:12" x14ac:dyDescent="0.25">
      <c r="A12" s="18">
        <f t="shared" si="1"/>
        <v>10</v>
      </c>
      <c r="B12" s="17" t="s">
        <v>235</v>
      </c>
      <c r="C12" s="17" t="s">
        <v>244</v>
      </c>
      <c r="D12" s="17">
        <v>360</v>
      </c>
      <c r="E12" s="17" t="s">
        <v>254</v>
      </c>
      <c r="F12" s="17">
        <v>40</v>
      </c>
      <c r="G12" s="58">
        <f>SUMIF('Inventario E-S'!C:C, C12, 'Inventario E-S'!D:D) - SUMIF('Inventario E-S'!C:C, C12, 'Inventario E-S'!E:E)+F12</f>
        <v>40</v>
      </c>
      <c r="H12" s="17"/>
      <c r="I12" s="17">
        <v>2</v>
      </c>
      <c r="J12" s="17" t="str">
        <f t="shared" si="0"/>
        <v>✅ OK</v>
      </c>
    </row>
    <row r="13" spans="1:12" x14ac:dyDescent="0.25">
      <c r="A13" s="18">
        <f t="shared" si="1"/>
        <v>11</v>
      </c>
      <c r="B13" s="17" t="s">
        <v>235</v>
      </c>
      <c r="C13" s="17" t="s">
        <v>245</v>
      </c>
      <c r="D13" s="17">
        <v>150</v>
      </c>
      <c r="E13" s="17" t="s">
        <v>254</v>
      </c>
      <c r="F13" s="17">
        <v>7</v>
      </c>
      <c r="G13" s="58">
        <f>SUMIF('Inventario E-S'!C:C, C13, 'Inventario E-S'!D:D) - SUMIF('Inventario E-S'!C:C, C13, 'Inventario E-S'!E:E)+F13</f>
        <v>7</v>
      </c>
      <c r="H13" s="17"/>
      <c r="I13" s="17">
        <f t="shared" si="2"/>
        <v>3</v>
      </c>
      <c r="J13" s="17" t="str">
        <f t="shared" si="0"/>
        <v>✅ OK</v>
      </c>
    </row>
    <row r="14" spans="1:12" x14ac:dyDescent="0.25">
      <c r="A14" s="18">
        <f t="shared" si="1"/>
        <v>12</v>
      </c>
      <c r="B14" s="17" t="s">
        <v>235</v>
      </c>
      <c r="C14" s="17" t="s">
        <v>245</v>
      </c>
      <c r="D14" s="17">
        <v>220</v>
      </c>
      <c r="E14" s="17" t="s">
        <v>254</v>
      </c>
      <c r="F14" s="17">
        <v>7</v>
      </c>
      <c r="G14" s="58">
        <f>SUMIF('Inventario E-S'!C:C, C14, 'Inventario E-S'!D:D) - SUMIF('Inventario E-S'!C:C, C14, 'Inventario E-S'!E:E)+F14</f>
        <v>7</v>
      </c>
      <c r="H14" s="17"/>
      <c r="I14" s="17">
        <f t="shared" si="2"/>
        <v>4</v>
      </c>
      <c r="J14" s="17" t="str">
        <f t="shared" si="0"/>
        <v>✅ OK</v>
      </c>
    </row>
    <row r="15" spans="1:12" x14ac:dyDescent="0.25">
      <c r="A15" s="18">
        <f t="shared" si="1"/>
        <v>13</v>
      </c>
      <c r="B15" s="17" t="s">
        <v>235</v>
      </c>
      <c r="C15" s="17" t="s">
        <v>245</v>
      </c>
      <c r="D15" s="17">
        <v>320</v>
      </c>
      <c r="E15" s="17" t="s">
        <v>254</v>
      </c>
      <c r="F15" s="17">
        <v>0</v>
      </c>
      <c r="G15" s="58">
        <f>SUMIF('Inventario E-S'!C:C, C15, 'Inventario E-S'!D:D) - SUMIF('Inventario E-S'!C:C, C15, 'Inventario E-S'!E:E)+F15</f>
        <v>0</v>
      </c>
      <c r="H15" s="17"/>
      <c r="I15" s="17">
        <f t="shared" si="2"/>
        <v>5</v>
      </c>
      <c r="J15" s="17" t="str">
        <f t="shared" si="0"/>
        <v>🔴 AGOTADO</v>
      </c>
    </row>
    <row r="16" spans="1:12" x14ac:dyDescent="0.25">
      <c r="A16" s="18">
        <f t="shared" si="1"/>
        <v>14</v>
      </c>
      <c r="B16" s="17" t="s">
        <v>235</v>
      </c>
      <c r="C16" s="17" t="s">
        <v>245</v>
      </c>
      <c r="D16" s="17" t="s">
        <v>246</v>
      </c>
      <c r="E16" s="17" t="s">
        <v>254</v>
      </c>
      <c r="F16" s="17">
        <v>7</v>
      </c>
      <c r="G16" s="58">
        <f>SUMIF('Inventario E-S'!C:C, C16, 'Inventario E-S'!D:D) - SUMIF('Inventario E-S'!C:C, C16, 'Inventario E-S'!E:E)+F16</f>
        <v>7</v>
      </c>
      <c r="H16" s="17"/>
      <c r="I16" s="17">
        <f t="shared" si="2"/>
        <v>6</v>
      </c>
      <c r="J16" s="17" t="str">
        <f t="shared" si="0"/>
        <v>✅ OK</v>
      </c>
    </row>
    <row r="17" spans="1:10" x14ac:dyDescent="0.25">
      <c r="A17" s="18">
        <f t="shared" si="1"/>
        <v>15</v>
      </c>
      <c r="B17" s="17" t="s">
        <v>235</v>
      </c>
      <c r="C17" s="17" t="s">
        <v>249</v>
      </c>
      <c r="D17" s="17" t="s">
        <v>250</v>
      </c>
      <c r="E17" s="17" t="s">
        <v>269</v>
      </c>
      <c r="F17" s="17">
        <v>7</v>
      </c>
      <c r="G17" s="58">
        <f>SUMIF('Inventario E-S'!C:C, C17, 'Inventario E-S'!D:D) - SUMIF('Inventario E-S'!C:C, C17, 'Inventario E-S'!E:E)+F17</f>
        <v>7</v>
      </c>
      <c r="H17" s="17"/>
      <c r="I17" s="17">
        <f t="shared" si="2"/>
        <v>7</v>
      </c>
      <c r="J17" s="17" t="str">
        <f t="shared" si="0"/>
        <v>⚠️ BAJO</v>
      </c>
    </row>
    <row r="18" spans="1:10" x14ac:dyDescent="0.25">
      <c r="A18" s="18">
        <f t="shared" si="1"/>
        <v>16</v>
      </c>
      <c r="B18" s="17" t="s">
        <v>235</v>
      </c>
      <c r="C18" s="17" t="s">
        <v>251</v>
      </c>
      <c r="D18" s="59" t="s">
        <v>252</v>
      </c>
      <c r="E18" s="17" t="s">
        <v>254</v>
      </c>
      <c r="F18" s="17">
        <v>7</v>
      </c>
      <c r="G18" s="58">
        <f>SUMIF('Inventario E-S'!C:C, C18, 'Inventario E-S'!D:D) - SUMIF('Inventario E-S'!C:C, C18, 'Inventario E-S'!E:E)+F18</f>
        <v>7</v>
      </c>
      <c r="H18" s="17"/>
      <c r="I18" s="17">
        <f t="shared" si="2"/>
        <v>8</v>
      </c>
      <c r="J18" s="17" t="str">
        <f t="shared" si="0"/>
        <v>⚠️ BAJO</v>
      </c>
    </row>
    <row r="19" spans="1:10" x14ac:dyDescent="0.25">
      <c r="A19" s="18">
        <f t="shared" si="1"/>
        <v>17</v>
      </c>
      <c r="B19" s="17" t="s">
        <v>235</v>
      </c>
      <c r="C19" s="17" t="s">
        <v>251</v>
      </c>
      <c r="D19" s="59" t="s">
        <v>253</v>
      </c>
      <c r="E19" s="17" t="s">
        <v>254</v>
      </c>
      <c r="F19" s="17">
        <v>7</v>
      </c>
      <c r="G19" s="58">
        <f>SUMIF('Inventario E-S'!C:C, C19, 'Inventario E-S'!D:D) - SUMIF('Inventario E-S'!C:C, C19, 'Inventario E-S'!E:E)+F19</f>
        <v>7</v>
      </c>
      <c r="H19" s="17"/>
      <c r="I19" s="17">
        <f t="shared" si="2"/>
        <v>9</v>
      </c>
      <c r="J19" s="17" t="str">
        <f t="shared" si="0"/>
        <v>⚠️ BAJO</v>
      </c>
    </row>
    <row r="20" spans="1:10" x14ac:dyDescent="0.25">
      <c r="A20" s="18">
        <f t="shared" si="1"/>
        <v>18</v>
      </c>
      <c r="B20" s="17" t="s">
        <v>235</v>
      </c>
      <c r="C20" s="17" t="s">
        <v>255</v>
      </c>
      <c r="D20" s="17" t="s">
        <v>119</v>
      </c>
      <c r="E20" s="17" t="s">
        <v>254</v>
      </c>
      <c r="F20" s="17">
        <v>7</v>
      </c>
      <c r="G20" s="58">
        <f>SUMIF('Inventario E-S'!C:C, C20, 'Inventario E-S'!D:D) - SUMIF('Inventario E-S'!C:C, C20, 'Inventario E-S'!E:E)+F20</f>
        <v>7</v>
      </c>
      <c r="H20" s="17"/>
      <c r="I20" s="17">
        <f t="shared" si="2"/>
        <v>10</v>
      </c>
      <c r="J20" s="17" t="str">
        <f t="shared" si="0"/>
        <v>⚠️ BAJO</v>
      </c>
    </row>
    <row r="21" spans="1:10" x14ac:dyDescent="0.25">
      <c r="A21" s="18">
        <f t="shared" si="1"/>
        <v>19</v>
      </c>
      <c r="B21" s="17" t="s">
        <v>235</v>
      </c>
      <c r="C21" s="17" t="s">
        <v>255</v>
      </c>
      <c r="D21" s="17" t="s">
        <v>256</v>
      </c>
      <c r="E21" s="17" t="s">
        <v>254</v>
      </c>
      <c r="F21" s="17">
        <v>7</v>
      </c>
      <c r="G21" s="58">
        <f>SUMIF('Inventario E-S'!C:C, C21, 'Inventario E-S'!D:D) - SUMIF('Inventario E-S'!C:C, C21, 'Inventario E-S'!E:E)+F21</f>
        <v>7</v>
      </c>
      <c r="H21" s="17"/>
      <c r="I21" s="17">
        <f t="shared" si="2"/>
        <v>11</v>
      </c>
      <c r="J21" s="17" t="str">
        <f t="shared" si="0"/>
        <v>⚠️ BAJO</v>
      </c>
    </row>
    <row r="22" spans="1:10" x14ac:dyDescent="0.25">
      <c r="A22" s="18">
        <f t="shared" si="1"/>
        <v>20</v>
      </c>
      <c r="B22" s="17" t="s">
        <v>235</v>
      </c>
      <c r="C22" s="17" t="s">
        <v>255</v>
      </c>
      <c r="D22" s="17" t="s">
        <v>97</v>
      </c>
      <c r="E22" s="17" t="s">
        <v>254</v>
      </c>
      <c r="F22" s="17">
        <v>7</v>
      </c>
      <c r="G22" s="58">
        <f>SUMIF('Inventario E-S'!C:C, C22, 'Inventario E-S'!D:D) - SUMIF('Inventario E-S'!C:C, C22, 'Inventario E-S'!E:E)+F22</f>
        <v>7</v>
      </c>
      <c r="H22" s="17"/>
      <c r="I22" s="17">
        <f t="shared" si="2"/>
        <v>12</v>
      </c>
      <c r="J22" s="17" t="str">
        <f t="shared" si="0"/>
        <v>⚠️ BAJO</v>
      </c>
    </row>
    <row r="23" spans="1:10" x14ac:dyDescent="0.25">
      <c r="A23" s="18">
        <f t="shared" si="1"/>
        <v>21</v>
      </c>
      <c r="B23" s="17" t="s">
        <v>235</v>
      </c>
      <c r="C23" s="17" t="s">
        <v>255</v>
      </c>
      <c r="D23" s="17" t="s">
        <v>145</v>
      </c>
      <c r="E23" s="17" t="s">
        <v>254</v>
      </c>
      <c r="F23" s="17">
        <v>7</v>
      </c>
      <c r="G23" s="58">
        <f>SUMIF('Inventario E-S'!C:C, C23, 'Inventario E-S'!D:D) - SUMIF('Inventario E-S'!C:C, C23, 'Inventario E-S'!E:E)+F23</f>
        <v>7</v>
      </c>
      <c r="H23" s="17"/>
      <c r="I23" s="17">
        <f t="shared" si="2"/>
        <v>13</v>
      </c>
      <c r="J23" s="17" t="str">
        <f t="shared" si="0"/>
        <v>⚠️ BAJO</v>
      </c>
    </row>
    <row r="24" spans="1:10" x14ac:dyDescent="0.25">
      <c r="A24" s="18">
        <f t="shared" si="1"/>
        <v>22</v>
      </c>
      <c r="B24" s="17" t="s">
        <v>235</v>
      </c>
      <c r="C24" s="17" t="s">
        <v>255</v>
      </c>
      <c r="D24" s="17" t="s">
        <v>144</v>
      </c>
      <c r="E24" s="17" t="s">
        <v>254</v>
      </c>
      <c r="F24" s="17">
        <v>7</v>
      </c>
      <c r="G24" s="58">
        <f>SUMIF('Inventario E-S'!C:C, C24, 'Inventario E-S'!D:D) - SUMIF('Inventario E-S'!C:C, C24, 'Inventario E-S'!E:E)+F24</f>
        <v>7</v>
      </c>
      <c r="H24" s="17"/>
      <c r="I24" s="17">
        <f t="shared" si="2"/>
        <v>14</v>
      </c>
      <c r="J24" s="17" t="str">
        <f t="shared" si="0"/>
        <v>⚠️ BAJO</v>
      </c>
    </row>
    <row r="25" spans="1:10" x14ac:dyDescent="0.25">
      <c r="A25" s="18">
        <f t="shared" si="1"/>
        <v>23</v>
      </c>
      <c r="B25" s="17" t="s">
        <v>235</v>
      </c>
      <c r="C25" s="17" t="s">
        <v>255</v>
      </c>
      <c r="D25" s="17" t="s">
        <v>102</v>
      </c>
      <c r="E25" s="17" t="s">
        <v>254</v>
      </c>
      <c r="F25" s="17">
        <v>7</v>
      </c>
      <c r="G25" s="58">
        <f>SUMIF('Inventario E-S'!C:C, C25, 'Inventario E-S'!D:D) - SUMIF('Inventario E-S'!C:C, C25, 'Inventario E-S'!E:E)+F25</f>
        <v>7</v>
      </c>
      <c r="H25" s="17"/>
      <c r="I25" s="17">
        <f t="shared" si="2"/>
        <v>15</v>
      </c>
      <c r="J25" s="17" t="str">
        <f t="shared" si="0"/>
        <v>⚠️ BAJO</v>
      </c>
    </row>
    <row r="26" spans="1:10" x14ac:dyDescent="0.25">
      <c r="A26" s="18">
        <f t="shared" si="1"/>
        <v>24</v>
      </c>
      <c r="B26" s="17" t="s">
        <v>235</v>
      </c>
      <c r="C26" s="17" t="s">
        <v>257</v>
      </c>
      <c r="D26" s="17" t="s">
        <v>258</v>
      </c>
      <c r="E26" s="17" t="s">
        <v>254</v>
      </c>
      <c r="F26" s="17">
        <v>7</v>
      </c>
      <c r="G26" s="58">
        <f>SUMIF('Inventario E-S'!C:C, C26, 'Inventario E-S'!D:D) - SUMIF('Inventario E-S'!C:C, C26, 'Inventario E-S'!E:E)+F26</f>
        <v>7</v>
      </c>
      <c r="H26" s="17"/>
      <c r="I26" s="17">
        <f t="shared" si="2"/>
        <v>16</v>
      </c>
      <c r="J26" s="17" t="str">
        <f t="shared" si="0"/>
        <v>⚠️ BAJO</v>
      </c>
    </row>
    <row r="27" spans="1:10" x14ac:dyDescent="0.25">
      <c r="A27" s="18">
        <f t="shared" si="1"/>
        <v>25</v>
      </c>
      <c r="B27" s="17" t="s">
        <v>259</v>
      </c>
      <c r="C27" s="17" t="s">
        <v>260</v>
      </c>
      <c r="D27" s="17"/>
      <c r="E27" s="17" t="s">
        <v>254</v>
      </c>
      <c r="F27" s="17">
        <v>7</v>
      </c>
      <c r="G27" s="58">
        <f>SUMIF('Inventario E-S'!C:C, C27, 'Inventario E-S'!D:D) - SUMIF('Inventario E-S'!C:C, C27, 'Inventario E-S'!E:E)+F27</f>
        <v>7</v>
      </c>
      <c r="H27" s="17"/>
      <c r="I27" s="17">
        <f t="shared" si="2"/>
        <v>17</v>
      </c>
      <c r="J27" s="17" t="str">
        <f t="shared" si="0"/>
        <v>⚠️ BAJO</v>
      </c>
    </row>
    <row r="28" spans="1:10" x14ac:dyDescent="0.25">
      <c r="A28" s="18">
        <f t="shared" si="1"/>
        <v>26</v>
      </c>
      <c r="B28" s="17" t="s">
        <v>259</v>
      </c>
      <c r="C28" s="17" t="s">
        <v>261</v>
      </c>
      <c r="D28" s="17" t="s">
        <v>265</v>
      </c>
      <c r="E28" s="17" t="s">
        <v>254</v>
      </c>
      <c r="F28" s="17">
        <v>7</v>
      </c>
      <c r="G28" s="58">
        <f>SUMIF('Inventario E-S'!C:C, C28, 'Inventario E-S'!D:D) - SUMIF('Inventario E-S'!C:C, C28, 'Inventario E-S'!E:E)+F28</f>
        <v>7</v>
      </c>
      <c r="H28" s="17"/>
      <c r="I28" s="17">
        <f t="shared" si="2"/>
        <v>18</v>
      </c>
      <c r="J28" s="17" t="str">
        <f t="shared" si="0"/>
        <v>⚠️ BAJO</v>
      </c>
    </row>
    <row r="29" spans="1:10" x14ac:dyDescent="0.25">
      <c r="A29" s="18">
        <f t="shared" si="1"/>
        <v>27</v>
      </c>
      <c r="B29" s="17" t="s">
        <v>259</v>
      </c>
      <c r="C29" s="17" t="s">
        <v>262</v>
      </c>
      <c r="D29" s="17" t="s">
        <v>266</v>
      </c>
      <c r="E29" s="17" t="s">
        <v>254</v>
      </c>
      <c r="F29" s="17">
        <v>7</v>
      </c>
      <c r="G29" s="58">
        <f>SUMIF('Inventario E-S'!C:C, C29, 'Inventario E-S'!D:D) - SUMIF('Inventario E-S'!C:C, C29, 'Inventario E-S'!E:E)+F29</f>
        <v>7</v>
      </c>
      <c r="H29" s="17"/>
      <c r="I29" s="17">
        <f t="shared" si="2"/>
        <v>19</v>
      </c>
      <c r="J29" s="17" t="str">
        <f t="shared" si="0"/>
        <v>⚠️ BAJO</v>
      </c>
    </row>
    <row r="30" spans="1:10" x14ac:dyDescent="0.25">
      <c r="A30" s="18">
        <f t="shared" si="1"/>
        <v>28</v>
      </c>
      <c r="B30" s="17" t="s">
        <v>263</v>
      </c>
      <c r="C30" s="17" t="s">
        <v>264</v>
      </c>
      <c r="D30" s="17">
        <v>24</v>
      </c>
      <c r="E30" s="17" t="s">
        <v>269</v>
      </c>
      <c r="F30" s="17">
        <v>7</v>
      </c>
      <c r="G30" s="58">
        <f>SUMIF('Inventario E-S'!C:C, C30, 'Inventario E-S'!D:D) - SUMIF('Inventario E-S'!C:C, C30, 'Inventario E-S'!E:E)+F30</f>
        <v>7</v>
      </c>
      <c r="H30" s="17"/>
      <c r="I30" s="17">
        <f t="shared" si="2"/>
        <v>20</v>
      </c>
      <c r="J30" s="17" t="str">
        <f t="shared" si="0"/>
        <v>⚠️ BAJO</v>
      </c>
    </row>
    <row r="31" spans="1:10" x14ac:dyDescent="0.25">
      <c r="A31" s="18">
        <f t="shared" si="1"/>
        <v>29</v>
      </c>
      <c r="B31" s="17" t="s">
        <v>263</v>
      </c>
      <c r="C31" s="17" t="s">
        <v>264</v>
      </c>
      <c r="D31" s="17">
        <v>21</v>
      </c>
      <c r="E31" s="17" t="s">
        <v>269</v>
      </c>
      <c r="F31" s="17">
        <v>7</v>
      </c>
      <c r="G31" s="58">
        <f>SUMIF('Inventario E-S'!C:C, C31, 'Inventario E-S'!D:D) - SUMIF('Inventario E-S'!C:C, C31, 'Inventario E-S'!E:E)+F31</f>
        <v>7</v>
      </c>
      <c r="H31" s="17"/>
      <c r="I31" s="17">
        <f t="shared" si="2"/>
        <v>21</v>
      </c>
      <c r="J31" s="17" t="str">
        <f t="shared" si="0"/>
        <v>⚠️ BAJO</v>
      </c>
    </row>
    <row r="32" spans="1:10" x14ac:dyDescent="0.25">
      <c r="A32" s="18">
        <f t="shared" si="1"/>
        <v>30</v>
      </c>
      <c r="B32" s="17" t="s">
        <v>263</v>
      </c>
      <c r="C32" s="17" t="s">
        <v>264</v>
      </c>
      <c r="D32" s="17">
        <v>18</v>
      </c>
      <c r="E32" s="17" t="s">
        <v>269</v>
      </c>
      <c r="F32" s="17">
        <v>7</v>
      </c>
      <c r="G32" s="58">
        <f>SUMIF('Inventario E-S'!C:C, C32, 'Inventario E-S'!D:D) - SUMIF('Inventario E-S'!C:C, C32, 'Inventario E-S'!E:E)+F32</f>
        <v>7</v>
      </c>
      <c r="H32" s="17"/>
      <c r="I32" s="17">
        <f t="shared" si="2"/>
        <v>22</v>
      </c>
      <c r="J32" s="17" t="str">
        <f t="shared" si="0"/>
        <v>⚠️ BAJO</v>
      </c>
    </row>
    <row r="33" spans="1:10" x14ac:dyDescent="0.25">
      <c r="A33" s="18">
        <f t="shared" si="1"/>
        <v>31</v>
      </c>
      <c r="B33" s="17" t="s">
        <v>263</v>
      </c>
      <c r="C33" s="17" t="s">
        <v>264</v>
      </c>
      <c r="D33" s="17">
        <v>15</v>
      </c>
      <c r="E33" s="17" t="s">
        <v>269</v>
      </c>
      <c r="F33" s="17">
        <v>7</v>
      </c>
      <c r="G33" s="58">
        <f>SUMIF('Inventario E-S'!C:C, C33, 'Inventario E-S'!D:D) - SUMIF('Inventario E-S'!C:C, C33, 'Inventario E-S'!E:E)+F33</f>
        <v>7</v>
      </c>
      <c r="H33" s="17"/>
      <c r="I33" s="17">
        <v>5</v>
      </c>
      <c r="J33" s="17" t="str">
        <f t="shared" si="0"/>
        <v>✅ OK</v>
      </c>
    </row>
    <row r="34" spans="1:10" x14ac:dyDescent="0.25">
      <c r="A34" s="18">
        <f t="shared" si="1"/>
        <v>32</v>
      </c>
      <c r="B34" s="17" t="s">
        <v>263</v>
      </c>
      <c r="C34" s="17" t="s">
        <v>264</v>
      </c>
      <c r="D34" s="17">
        <v>12</v>
      </c>
      <c r="E34" s="17" t="s">
        <v>269</v>
      </c>
      <c r="F34" s="17">
        <v>7</v>
      </c>
      <c r="G34" s="58">
        <f>SUMIF('Inventario E-S'!C:C, C34, 'Inventario E-S'!D:D) - SUMIF('Inventario E-S'!C:C, C34, 'Inventario E-S'!E:E)+F34</f>
        <v>7</v>
      </c>
      <c r="H34" s="17"/>
      <c r="I34" s="17">
        <f t="shared" si="2"/>
        <v>6</v>
      </c>
      <c r="J34" s="17" t="str">
        <f t="shared" si="0"/>
        <v>✅ OK</v>
      </c>
    </row>
    <row r="35" spans="1:10" x14ac:dyDescent="0.25">
      <c r="A35" s="18">
        <f t="shared" si="1"/>
        <v>33</v>
      </c>
      <c r="B35" s="17" t="s">
        <v>263</v>
      </c>
      <c r="C35" s="17" t="s">
        <v>284</v>
      </c>
      <c r="D35" s="17" t="s">
        <v>285</v>
      </c>
      <c r="E35" s="17" t="s">
        <v>269</v>
      </c>
      <c r="F35" s="17">
        <v>7</v>
      </c>
      <c r="G35" s="58">
        <f>SUMIF('Inventario E-S'!C:C, C35, 'Inventario E-S'!D:D) - SUMIF('Inventario E-S'!C:C, C35, 'Inventario E-S'!E:E)+F35</f>
        <v>7</v>
      </c>
      <c r="H35" s="17"/>
      <c r="I35" s="17">
        <f t="shared" si="2"/>
        <v>7</v>
      </c>
      <c r="J35" s="17" t="str">
        <f t="shared" si="0"/>
        <v>⚠️ BAJO</v>
      </c>
    </row>
    <row r="36" spans="1:10" x14ac:dyDescent="0.25">
      <c r="A36" s="18">
        <f t="shared" si="1"/>
        <v>34</v>
      </c>
      <c r="B36" s="17" t="s">
        <v>263</v>
      </c>
      <c r="C36" s="17" t="s">
        <v>284</v>
      </c>
      <c r="D36" s="17" t="s">
        <v>286</v>
      </c>
      <c r="E36" s="17" t="s">
        <v>269</v>
      </c>
      <c r="F36" s="17">
        <v>7</v>
      </c>
      <c r="G36" s="58">
        <f>SUMIF('Inventario E-S'!C:C, C36, 'Inventario E-S'!D:D) - SUMIF('Inventario E-S'!C:C, C36, 'Inventario E-S'!E:E)+F36</f>
        <v>7</v>
      </c>
      <c r="H36" s="17"/>
      <c r="I36" s="17">
        <f t="shared" si="2"/>
        <v>8</v>
      </c>
      <c r="J36" s="17" t="str">
        <f t="shared" si="0"/>
        <v>⚠️ BAJO</v>
      </c>
    </row>
    <row r="37" spans="1:10" x14ac:dyDescent="0.25">
      <c r="A37" s="18">
        <f t="shared" si="1"/>
        <v>35</v>
      </c>
      <c r="B37" s="17" t="s">
        <v>263</v>
      </c>
      <c r="C37" s="17" t="s">
        <v>272</v>
      </c>
      <c r="D37" s="17" t="s">
        <v>268</v>
      </c>
      <c r="E37" s="17" t="s">
        <v>269</v>
      </c>
      <c r="F37" s="17">
        <v>7</v>
      </c>
      <c r="G37" s="58">
        <f>SUMIF('Inventario E-S'!C:C, C37, 'Inventario E-S'!D:D) - SUMIF('Inventario E-S'!C:C, C37, 'Inventario E-S'!E:E)+F37</f>
        <v>7</v>
      </c>
      <c r="H37" s="17"/>
      <c r="I37" s="17">
        <f t="shared" si="2"/>
        <v>9</v>
      </c>
      <c r="J37" s="17" t="str">
        <f t="shared" si="0"/>
        <v>⚠️ BAJO</v>
      </c>
    </row>
    <row r="38" spans="1:10" x14ac:dyDescent="0.25">
      <c r="A38" s="18">
        <f t="shared" si="1"/>
        <v>36</v>
      </c>
      <c r="B38" s="17" t="s">
        <v>263</v>
      </c>
      <c r="C38" s="17" t="s">
        <v>272</v>
      </c>
      <c r="D38" s="17" t="s">
        <v>270</v>
      </c>
      <c r="E38" s="17" t="s">
        <v>269</v>
      </c>
      <c r="F38" s="17">
        <v>7</v>
      </c>
      <c r="G38" s="58">
        <f>SUMIF('Inventario E-S'!C:C, C38, 'Inventario E-S'!D:D) - SUMIF('Inventario E-S'!C:C, C38, 'Inventario E-S'!E:E)+F38</f>
        <v>7</v>
      </c>
      <c r="H38" s="17"/>
      <c r="I38" s="17">
        <f t="shared" si="2"/>
        <v>10</v>
      </c>
      <c r="J38" s="17" t="str">
        <f t="shared" si="0"/>
        <v>⚠️ BAJO</v>
      </c>
    </row>
    <row r="39" spans="1:10" x14ac:dyDescent="0.25">
      <c r="A39" s="18">
        <f t="shared" si="1"/>
        <v>37</v>
      </c>
      <c r="B39" s="17" t="s">
        <v>263</v>
      </c>
      <c r="C39" s="17" t="s">
        <v>273</v>
      </c>
      <c r="D39" s="17" t="s">
        <v>268</v>
      </c>
      <c r="E39" s="17" t="s">
        <v>269</v>
      </c>
      <c r="F39" s="17">
        <v>7</v>
      </c>
      <c r="G39" s="58">
        <f>SUMIF('Inventario E-S'!C:C, C39, 'Inventario E-S'!D:D) - SUMIF('Inventario E-S'!C:C, C39, 'Inventario E-S'!E:E)+F39</f>
        <v>7</v>
      </c>
      <c r="H39" s="17"/>
      <c r="I39" s="17">
        <f t="shared" si="2"/>
        <v>11</v>
      </c>
      <c r="J39" s="17" t="str">
        <f t="shared" si="0"/>
        <v>⚠️ BAJO</v>
      </c>
    </row>
    <row r="40" spans="1:10" x14ac:dyDescent="0.25">
      <c r="A40" s="18">
        <f t="shared" si="1"/>
        <v>38</v>
      </c>
      <c r="B40" s="17" t="s">
        <v>263</v>
      </c>
      <c r="C40" s="17" t="s">
        <v>273</v>
      </c>
      <c r="D40" s="17" t="s">
        <v>270</v>
      </c>
      <c r="E40" s="17" t="s">
        <v>269</v>
      </c>
      <c r="F40" s="17">
        <v>7</v>
      </c>
      <c r="G40" s="58">
        <f>SUMIF('Inventario E-S'!C:C, C40, 'Inventario E-S'!D:D) - SUMIF('Inventario E-S'!C:C, C40, 'Inventario E-S'!E:E)+F40</f>
        <v>7</v>
      </c>
      <c r="H40" s="17"/>
      <c r="I40" s="17">
        <f t="shared" si="2"/>
        <v>12</v>
      </c>
      <c r="J40" s="17" t="str">
        <f t="shared" si="0"/>
        <v>⚠️ BAJO</v>
      </c>
    </row>
    <row r="41" spans="1:10" x14ac:dyDescent="0.25">
      <c r="A41" s="18">
        <f t="shared" si="1"/>
        <v>39</v>
      </c>
      <c r="B41" s="17" t="s">
        <v>235</v>
      </c>
      <c r="C41" s="17" t="s">
        <v>271</v>
      </c>
      <c r="D41" s="17" t="s">
        <v>274</v>
      </c>
      <c r="E41" s="17" t="s">
        <v>269</v>
      </c>
      <c r="F41" s="17">
        <v>7</v>
      </c>
      <c r="G41" s="58">
        <f>SUMIF('Inventario E-S'!C:C, C41, 'Inventario E-S'!D:D) - SUMIF('Inventario E-S'!C:C, C41, 'Inventario E-S'!E:E)+F41</f>
        <v>7</v>
      </c>
      <c r="H41" s="17"/>
      <c r="I41" s="17">
        <f t="shared" si="2"/>
        <v>13</v>
      </c>
      <c r="J41" s="17" t="str">
        <f t="shared" si="0"/>
        <v>⚠️ BAJO</v>
      </c>
    </row>
    <row r="42" spans="1:10" x14ac:dyDescent="0.25">
      <c r="A42" s="18">
        <f t="shared" si="1"/>
        <v>40</v>
      </c>
      <c r="B42" s="17" t="s">
        <v>235</v>
      </c>
      <c r="C42" s="17" t="s">
        <v>271</v>
      </c>
      <c r="D42" s="17" t="s">
        <v>267</v>
      </c>
      <c r="E42" s="17" t="s">
        <v>269</v>
      </c>
      <c r="F42" s="17">
        <v>7</v>
      </c>
      <c r="G42" s="58">
        <f>SUMIF('Inventario E-S'!C:C, C42, 'Inventario E-S'!D:D) - SUMIF('Inventario E-S'!C:C, C42, 'Inventario E-S'!E:E)+F42</f>
        <v>7</v>
      </c>
      <c r="H42" s="17"/>
      <c r="I42" s="17">
        <f t="shared" si="2"/>
        <v>14</v>
      </c>
      <c r="J42" s="17" t="str">
        <f t="shared" si="0"/>
        <v>⚠️ BAJO</v>
      </c>
    </row>
    <row r="43" spans="1:10" x14ac:dyDescent="0.25">
      <c r="A43" s="18">
        <f t="shared" si="1"/>
        <v>41</v>
      </c>
      <c r="B43" s="17" t="s">
        <v>235</v>
      </c>
      <c r="C43" s="17" t="s">
        <v>271</v>
      </c>
      <c r="D43" s="17" t="s">
        <v>275</v>
      </c>
      <c r="E43" s="17" t="s">
        <v>269</v>
      </c>
      <c r="F43" s="17">
        <v>7</v>
      </c>
      <c r="G43" s="58">
        <f>SUMIF('Inventario E-S'!C:C, C43, 'Inventario E-S'!D:D) - SUMIF('Inventario E-S'!C:C, C43, 'Inventario E-S'!E:E)+F43</f>
        <v>7</v>
      </c>
      <c r="H43" s="17"/>
      <c r="I43" s="17">
        <f t="shared" si="2"/>
        <v>15</v>
      </c>
      <c r="J43" s="17" t="str">
        <f t="shared" si="0"/>
        <v>⚠️ BAJO</v>
      </c>
    </row>
    <row r="44" spans="1:10" x14ac:dyDescent="0.25">
      <c r="A44" s="18">
        <f t="shared" si="1"/>
        <v>42</v>
      </c>
      <c r="B44" s="17" t="s">
        <v>235</v>
      </c>
      <c r="C44" s="17" t="s">
        <v>271</v>
      </c>
      <c r="D44" s="17" t="s">
        <v>276</v>
      </c>
      <c r="E44" s="17" t="s">
        <v>269</v>
      </c>
      <c r="F44" s="17">
        <v>7</v>
      </c>
      <c r="G44" s="58">
        <f>SUMIF('Inventario E-S'!C:C, C44, 'Inventario E-S'!D:D) - SUMIF('Inventario E-S'!C:C, C44, 'Inventario E-S'!E:E)+F44</f>
        <v>7</v>
      </c>
      <c r="H44" s="17"/>
      <c r="I44" s="17">
        <f t="shared" si="2"/>
        <v>16</v>
      </c>
      <c r="J44" s="17" t="str">
        <f t="shared" si="0"/>
        <v>⚠️ BAJO</v>
      </c>
    </row>
    <row r="45" spans="1:10" x14ac:dyDescent="0.25">
      <c r="A45" s="18">
        <f t="shared" si="1"/>
        <v>43</v>
      </c>
      <c r="B45" s="17" t="s">
        <v>277</v>
      </c>
      <c r="C45" s="17"/>
      <c r="D45" s="17"/>
      <c r="E45" s="17"/>
      <c r="F45" s="17">
        <v>7</v>
      </c>
      <c r="G45" s="58">
        <f>SUMIF('Inventario E-S'!C:C, C45, 'Inventario E-S'!D:D) - SUMIF('Inventario E-S'!C:C, C45, 'Inventario E-S'!E:E)+F45</f>
        <v>7</v>
      </c>
      <c r="H45" s="17"/>
      <c r="I45" s="17">
        <f t="shared" si="2"/>
        <v>17</v>
      </c>
      <c r="J45" s="17" t="str">
        <f t="shared" si="0"/>
        <v>⚠️ BAJO</v>
      </c>
    </row>
    <row r="46" spans="1:10" x14ac:dyDescent="0.25">
      <c r="A46" s="18">
        <f t="shared" si="1"/>
        <v>44</v>
      </c>
      <c r="B46" s="17" t="s">
        <v>263</v>
      </c>
      <c r="C46" s="17" t="s">
        <v>346</v>
      </c>
      <c r="D46" s="17" t="s">
        <v>289</v>
      </c>
      <c r="E46" s="17" t="s">
        <v>254</v>
      </c>
      <c r="F46" s="17">
        <v>15</v>
      </c>
      <c r="G46" s="58">
        <f>SUMIF('Inventario E-S'!C:C, C46, 'Inventario E-S'!D:D) - SUMIF('Inventario E-S'!C:C, C46, 'Inventario E-S'!E:E)+F46</f>
        <v>23</v>
      </c>
      <c r="H46" s="17"/>
      <c r="I46" s="17">
        <v>5</v>
      </c>
      <c r="J46" s="17" t="str">
        <f t="shared" si="0"/>
        <v>✅ OK</v>
      </c>
    </row>
    <row r="47" spans="1:10" x14ac:dyDescent="0.25">
      <c r="A47" s="18">
        <f t="shared" si="1"/>
        <v>45</v>
      </c>
      <c r="B47" s="17" t="s">
        <v>235</v>
      </c>
      <c r="C47" s="17" t="s">
        <v>406</v>
      </c>
      <c r="D47" s="17" t="s">
        <v>407</v>
      </c>
      <c r="E47" s="17" t="s">
        <v>254</v>
      </c>
      <c r="F47" s="17">
        <v>7</v>
      </c>
      <c r="G47" s="58">
        <f>SUMIF('Inventario E-S'!C:C, C47, 'Inventario E-S'!D:D) - SUMIF('Inventario E-S'!C:C, C47, 'Inventario E-S'!E:E)+F47</f>
        <v>7</v>
      </c>
      <c r="H47" s="17"/>
      <c r="I47" s="17">
        <f t="shared" si="2"/>
        <v>6</v>
      </c>
      <c r="J47" s="17" t="str">
        <f t="shared" si="0"/>
        <v>✅ OK</v>
      </c>
    </row>
    <row r="48" spans="1:10" x14ac:dyDescent="0.25">
      <c r="A48" s="18">
        <f t="shared" si="1"/>
        <v>46</v>
      </c>
      <c r="B48" s="17"/>
      <c r="C48" s="17"/>
      <c r="D48" s="17"/>
      <c r="E48" s="17"/>
      <c r="F48" s="17">
        <v>7</v>
      </c>
      <c r="G48" s="58">
        <f>SUMIF('Inventario E-S'!C:C, C48, 'Inventario E-S'!D:D) - SUMIF('Inventario E-S'!C:C, C48, 'Inventario E-S'!E:E)+F48</f>
        <v>7</v>
      </c>
      <c r="H48" s="17"/>
      <c r="I48" s="17">
        <f t="shared" si="2"/>
        <v>7</v>
      </c>
      <c r="J48" s="17" t="str">
        <f t="shared" si="0"/>
        <v>⚠️ BAJO</v>
      </c>
    </row>
    <row r="49" spans="1:10" x14ac:dyDescent="0.25">
      <c r="A49" s="18">
        <f t="shared" si="1"/>
        <v>47</v>
      </c>
      <c r="B49" s="17"/>
      <c r="C49" s="17"/>
      <c r="D49" s="17"/>
      <c r="E49" s="17"/>
      <c r="F49" s="17">
        <v>7</v>
      </c>
      <c r="G49" s="58">
        <f>SUMIF('Inventario E-S'!C:C, C49, 'Inventario E-S'!D:D) - SUMIF('Inventario E-S'!C:C, C49, 'Inventario E-S'!E:E)+F49</f>
        <v>7</v>
      </c>
      <c r="H49" s="17"/>
      <c r="I49" s="17">
        <f t="shared" si="2"/>
        <v>8</v>
      </c>
      <c r="J49" s="17" t="str">
        <f t="shared" si="0"/>
        <v>⚠️ BAJO</v>
      </c>
    </row>
    <row r="50" spans="1:10" x14ac:dyDescent="0.25">
      <c r="A50" s="18">
        <f t="shared" si="1"/>
        <v>48</v>
      </c>
      <c r="B50" s="17"/>
      <c r="C50" s="17"/>
      <c r="D50" s="17"/>
      <c r="E50" s="17"/>
      <c r="F50" s="17">
        <v>7</v>
      </c>
      <c r="G50" s="58">
        <f>SUMIF('Inventario E-S'!C:C, C50, 'Inventario E-S'!D:D) - SUMIF('Inventario E-S'!C:C, C50, 'Inventario E-S'!E:E)+F50</f>
        <v>7</v>
      </c>
      <c r="H50" s="17"/>
      <c r="I50" s="17">
        <f t="shared" si="2"/>
        <v>9</v>
      </c>
      <c r="J50" s="17" t="str">
        <f t="shared" si="0"/>
        <v>⚠️ BAJO</v>
      </c>
    </row>
    <row r="51" spans="1:10" x14ac:dyDescent="0.25">
      <c r="A51" s="18">
        <f t="shared" si="1"/>
        <v>49</v>
      </c>
      <c r="B51" s="17"/>
      <c r="C51" s="17"/>
      <c r="D51" s="17"/>
      <c r="E51" s="17"/>
      <c r="F51" s="17">
        <v>7</v>
      </c>
      <c r="G51" s="58">
        <f>SUMIF('Inventario E-S'!C:C, C51, 'Inventario E-S'!D:D) - SUMIF('Inventario E-S'!C:C, C51, 'Inventario E-S'!E:E)+F51</f>
        <v>7</v>
      </c>
      <c r="H51" s="17"/>
      <c r="I51" s="17">
        <f t="shared" si="2"/>
        <v>10</v>
      </c>
      <c r="J51" s="17" t="str">
        <f t="shared" si="0"/>
        <v>⚠️ BAJO</v>
      </c>
    </row>
    <row r="52" spans="1:10" x14ac:dyDescent="0.25">
      <c r="A52" s="18">
        <f t="shared" si="1"/>
        <v>50</v>
      </c>
      <c r="B52" s="17"/>
      <c r="C52" s="17"/>
      <c r="D52" s="17"/>
      <c r="E52" s="17"/>
      <c r="F52" s="17">
        <v>7</v>
      </c>
      <c r="G52" s="58">
        <f>SUMIF('Inventario E-S'!C:C, C52, 'Inventario E-S'!D:D) - SUMIF('Inventario E-S'!C:C, C52, 'Inventario E-S'!E:E)+F52</f>
        <v>7</v>
      </c>
      <c r="H52" s="17"/>
      <c r="I52" s="17">
        <f t="shared" si="2"/>
        <v>11</v>
      </c>
      <c r="J52" s="17" t="str">
        <f t="shared" si="0"/>
        <v>⚠️ BAJO</v>
      </c>
    </row>
  </sheetData>
  <mergeCells count="1">
    <mergeCell ref="A1:J1"/>
  </mergeCells>
  <dataValidations count="4">
    <dataValidation type="list" allowBlank="1" sqref="E2:E1048576" xr:uid="{E9DDBA89-E7CF-420C-8CE1-59670A431454}">
      <formula1>"Galones, Pzas, Cjas, "</formula1>
    </dataValidation>
    <dataValidation type="list" allowBlank="1" sqref="H2:H1048576" xr:uid="{E5922C30-E71D-4128-9CCC-A4B545C2F263}">
      <formula1>"Pinturas,Stain,Oficina,Estante Principal"</formula1>
    </dataValidation>
    <dataValidation allowBlank="1" sqref="F2:F1048576 C2:C1048576" xr:uid="{986A6F52-152F-4BA4-BD54-49584E407611}"/>
    <dataValidation type="list" allowBlank="1" sqref="B2:B1048576" xr:uid="{56E34DFC-F1A7-42DD-BF4F-56DA12DD0D29}">
      <formula1>"Pinturas,Stain,Insumos,Consumibles,Equipo Pesado,Equipo Lijero"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>
      <pane ySplit="2" topLeftCell="A3" activePane="bottomLeft" state="frozen"/>
      <selection pane="bottomLeft" activeCell="H23" sqref="H23"/>
    </sheetView>
  </sheetViews>
  <sheetFormatPr baseColWidth="10" defaultColWidth="8.88671875" defaultRowHeight="13.8" x14ac:dyDescent="0.25"/>
  <cols>
    <col min="1" max="1" width="12.44140625" style="13" bestFit="1" customWidth="1"/>
    <col min="2" max="2" width="6.5546875" style="14" bestFit="1" customWidth="1"/>
    <col min="3" max="3" width="12.21875" style="13" customWidth="1"/>
    <col min="4" max="4" width="10" style="13" customWidth="1"/>
    <col min="5" max="5" width="8.88671875" style="13" customWidth="1"/>
    <col min="6" max="6" width="12.6640625" style="14" customWidth="1"/>
    <col min="7" max="7" width="15.88671875" style="13" customWidth="1"/>
    <col min="8" max="8" width="41.44140625" style="13" customWidth="1"/>
    <col min="9" max="9" width="20.6640625" style="13" customWidth="1"/>
    <col min="10" max="16384" width="8.88671875" style="13"/>
  </cols>
  <sheetData>
    <row r="1" spans="1:9" ht="20.399999999999999" x14ac:dyDescent="0.35">
      <c r="A1" s="99" t="s">
        <v>410</v>
      </c>
      <c r="B1" s="99"/>
      <c r="C1" s="99"/>
      <c r="D1" s="99"/>
      <c r="E1" s="99"/>
      <c r="F1" s="99"/>
      <c r="G1" s="99"/>
      <c r="H1" s="99"/>
      <c r="I1" s="99"/>
    </row>
    <row r="2" spans="1:9" ht="15.6" x14ac:dyDescent="0.25">
      <c r="A2" s="85" t="s">
        <v>225</v>
      </c>
      <c r="B2" s="85" t="s">
        <v>221</v>
      </c>
      <c r="C2" s="85" t="s">
        <v>287</v>
      </c>
      <c r="D2" s="85" t="s">
        <v>228</v>
      </c>
      <c r="E2" s="85" t="s">
        <v>220</v>
      </c>
      <c r="F2" s="85" t="s">
        <v>1</v>
      </c>
      <c r="G2" s="85" t="s">
        <v>13</v>
      </c>
      <c r="H2" s="85" t="s">
        <v>226</v>
      </c>
      <c r="I2" s="85" t="s">
        <v>227</v>
      </c>
    </row>
    <row r="3" spans="1:9" x14ac:dyDescent="0.25">
      <c r="A3" s="84">
        <v>46070</v>
      </c>
      <c r="B3" s="66">
        <f>INDEX('Inventario Base'!A3:A52, MATCH(C3, 'Inventario Base'!C3:C52, 0))</f>
        <v>1</v>
      </c>
      <c r="C3" s="74" t="s">
        <v>236</v>
      </c>
      <c r="D3" s="74">
        <v>1</v>
      </c>
      <c r="E3" s="74">
        <v>0</v>
      </c>
      <c r="F3" s="66" t="s">
        <v>12</v>
      </c>
      <c r="G3" s="74" t="s">
        <v>399</v>
      </c>
      <c r="H3" s="74" t="s">
        <v>288</v>
      </c>
      <c r="I3" s="74"/>
    </row>
    <row r="4" spans="1:9" x14ac:dyDescent="0.25">
      <c r="A4" s="61">
        <v>46070</v>
      </c>
      <c r="B4" s="18">
        <f>INDEX('Inventario Base'!A4:A53, MATCH(C4, 'Inventario Base'!C4:C53, 0))</f>
        <v>4</v>
      </c>
      <c r="C4" s="17" t="s">
        <v>237</v>
      </c>
      <c r="D4" s="17">
        <v>5</v>
      </c>
      <c r="E4" s="17">
        <v>0</v>
      </c>
      <c r="F4" s="18" t="s">
        <v>12</v>
      </c>
      <c r="G4" s="17" t="s">
        <v>400</v>
      </c>
      <c r="H4" s="17" t="s">
        <v>288</v>
      </c>
      <c r="I4" s="17"/>
    </row>
    <row r="5" spans="1:9" x14ac:dyDescent="0.25">
      <c r="A5" s="61">
        <v>46070</v>
      </c>
      <c r="B5" s="18">
        <f>INDEX('Inventario Base'!A5:A54, MATCH(C5, 'Inventario Base'!C5:C54, 0))</f>
        <v>3</v>
      </c>
      <c r="C5" s="17" t="s">
        <v>242</v>
      </c>
      <c r="D5" s="17">
        <v>5</v>
      </c>
      <c r="E5" s="17">
        <v>0</v>
      </c>
      <c r="F5" s="18" t="s">
        <v>12</v>
      </c>
      <c r="G5" s="17" t="s">
        <v>400</v>
      </c>
      <c r="H5" s="17" t="s">
        <v>288</v>
      </c>
      <c r="I5" s="17"/>
    </row>
    <row r="6" spans="1:9" x14ac:dyDescent="0.25">
      <c r="A6" s="61">
        <v>46070</v>
      </c>
      <c r="B6" s="18">
        <f>INDEX('Inventario Base'!A6:A55, MATCH(C6, 'Inventario Base'!C6:C55, 0))</f>
        <v>4</v>
      </c>
      <c r="C6" s="17" t="s">
        <v>237</v>
      </c>
      <c r="D6" s="17">
        <v>5</v>
      </c>
      <c r="E6" s="17">
        <v>0</v>
      </c>
      <c r="F6" s="18" t="s">
        <v>12</v>
      </c>
      <c r="G6" s="17" t="s">
        <v>400</v>
      </c>
      <c r="H6" s="17" t="s">
        <v>288</v>
      </c>
      <c r="I6" s="17"/>
    </row>
    <row r="7" spans="1:9" x14ac:dyDescent="0.25">
      <c r="A7" s="61">
        <v>46070</v>
      </c>
      <c r="B7" s="18">
        <f>INDEX('Inventario Base'!A7:A56, MATCH(C7, 'Inventario Base'!C7:C56, 0))</f>
        <v>44</v>
      </c>
      <c r="C7" s="17" t="s">
        <v>346</v>
      </c>
      <c r="D7" s="17">
        <v>8</v>
      </c>
      <c r="E7" s="17">
        <v>0</v>
      </c>
      <c r="F7" s="18" t="s">
        <v>12</v>
      </c>
      <c r="G7" s="17" t="s">
        <v>399</v>
      </c>
      <c r="H7" s="17" t="s">
        <v>288</v>
      </c>
      <c r="I7" s="17"/>
    </row>
    <row r="8" spans="1:9" x14ac:dyDescent="0.25">
      <c r="A8" s="17"/>
      <c r="B8" s="18" t="e">
        <f>INDEX('Inventario Base'!A8:A57, MATCH(C8, 'Inventario Base'!C8:C57, 0))</f>
        <v>#N/A</v>
      </c>
      <c r="C8" s="17"/>
      <c r="D8" s="17"/>
      <c r="E8" s="17"/>
      <c r="F8" s="18"/>
      <c r="G8" s="17"/>
      <c r="H8" s="17"/>
      <c r="I8" s="17"/>
    </row>
    <row r="9" spans="1:9" x14ac:dyDescent="0.25">
      <c r="A9" s="17"/>
      <c r="B9" s="18" t="e">
        <f>INDEX('Inventario Base'!A9:A58, MATCH(C9, 'Inventario Base'!C9:C58, 0))</f>
        <v>#N/A</v>
      </c>
      <c r="C9" s="17"/>
      <c r="D9" s="17"/>
      <c r="E9" s="17"/>
      <c r="F9" s="18"/>
      <c r="G9" s="17"/>
      <c r="H9" s="17"/>
      <c r="I9" s="17"/>
    </row>
    <row r="10" spans="1:9" x14ac:dyDescent="0.25">
      <c r="A10" s="17"/>
      <c r="B10" s="18" t="e">
        <f>INDEX('Inventario Base'!A10:A59, MATCH(C10, 'Inventario Base'!C10:C59, 0))</f>
        <v>#N/A</v>
      </c>
      <c r="C10" s="17"/>
      <c r="D10" s="17"/>
      <c r="E10" s="17"/>
      <c r="F10" s="18"/>
      <c r="G10" s="17"/>
      <c r="H10" s="17"/>
      <c r="I10" s="17"/>
    </row>
    <row r="11" spans="1:9" x14ac:dyDescent="0.25">
      <c r="A11" s="17"/>
      <c r="B11" s="18" t="e">
        <f>INDEX('Inventario Base'!A11:A60, MATCH(C11, 'Inventario Base'!C11:C60, 0))</f>
        <v>#N/A</v>
      </c>
      <c r="C11" s="17"/>
      <c r="D11" s="17"/>
      <c r="E11" s="17"/>
      <c r="F11" s="18"/>
      <c r="G11" s="17"/>
      <c r="H11" s="17"/>
      <c r="I11" s="17"/>
    </row>
    <row r="12" spans="1:9" x14ac:dyDescent="0.25">
      <c r="A12" s="17"/>
      <c r="B12" s="18" t="e">
        <f>INDEX('Inventario Base'!A12:A61, MATCH(C12, 'Inventario Base'!C12:C61, 0))</f>
        <v>#N/A</v>
      </c>
      <c r="C12" s="17"/>
      <c r="D12" s="17"/>
      <c r="E12" s="17"/>
      <c r="F12" s="18"/>
      <c r="G12" s="17"/>
      <c r="H12" s="17"/>
      <c r="I12" s="17"/>
    </row>
    <row r="13" spans="1:9" x14ac:dyDescent="0.25">
      <c r="A13" s="17"/>
      <c r="B13" s="18" t="e">
        <f>INDEX('Inventario Base'!A13:A62, MATCH(C13, 'Inventario Base'!C13:C62, 0))</f>
        <v>#N/A</v>
      </c>
      <c r="C13" s="17"/>
      <c r="D13" s="17"/>
      <c r="E13" s="17"/>
      <c r="F13" s="18"/>
      <c r="G13" s="17"/>
      <c r="H13" s="17"/>
      <c r="I13" s="17"/>
    </row>
    <row r="14" spans="1:9" x14ac:dyDescent="0.25">
      <c r="A14" s="17"/>
      <c r="B14" s="18" t="e">
        <f>INDEX('Inventario Base'!A14:A63, MATCH(C14, 'Inventario Base'!C14:C63, 0))</f>
        <v>#N/A</v>
      </c>
      <c r="C14" s="17"/>
      <c r="D14" s="17"/>
      <c r="E14" s="17"/>
      <c r="F14" s="18"/>
      <c r="G14" s="17"/>
      <c r="H14" s="17"/>
      <c r="I14" s="17"/>
    </row>
    <row r="15" spans="1:9" x14ac:dyDescent="0.25">
      <c r="A15" s="17"/>
      <c r="B15" s="18" t="e">
        <f>INDEX('Inventario Base'!A15:A64, MATCH(C15, 'Inventario Base'!C15:C64, 0))</f>
        <v>#N/A</v>
      </c>
      <c r="C15" s="17"/>
      <c r="D15" s="17"/>
      <c r="E15" s="17"/>
      <c r="F15" s="18"/>
      <c r="G15" s="17"/>
      <c r="H15" s="17"/>
      <c r="I15" s="17"/>
    </row>
    <row r="16" spans="1:9" x14ac:dyDescent="0.25">
      <c r="A16" s="17"/>
      <c r="B16" s="18" t="e">
        <f>INDEX('Inventario Base'!A16:A65, MATCH(C16, 'Inventario Base'!C16:C65, 0))</f>
        <v>#N/A</v>
      </c>
      <c r="C16" s="17"/>
      <c r="D16" s="17"/>
      <c r="E16" s="17"/>
      <c r="F16" s="18"/>
      <c r="G16" s="17"/>
      <c r="H16" s="17"/>
      <c r="I16" s="17"/>
    </row>
    <row r="17" spans="1:9" x14ac:dyDescent="0.25">
      <c r="A17" s="17"/>
      <c r="B17" s="18" t="e">
        <f>INDEX('Inventario Base'!A17:A66, MATCH(C17, 'Inventario Base'!C17:C66, 0))</f>
        <v>#N/A</v>
      </c>
      <c r="C17" s="17"/>
      <c r="D17" s="17"/>
      <c r="E17" s="17"/>
      <c r="F17" s="18"/>
      <c r="G17" s="17"/>
      <c r="H17" s="17"/>
      <c r="I17" s="17"/>
    </row>
    <row r="18" spans="1:9" x14ac:dyDescent="0.25">
      <c r="A18" s="17"/>
      <c r="B18" s="18" t="e">
        <f>INDEX('Inventario Base'!A18:A67, MATCH(C18, 'Inventario Base'!C18:C67, 0))</f>
        <v>#N/A</v>
      </c>
      <c r="C18" s="17"/>
      <c r="D18" s="17"/>
      <c r="E18" s="17"/>
      <c r="F18" s="18"/>
      <c r="G18" s="17"/>
      <c r="H18" s="17"/>
      <c r="I18" s="17"/>
    </row>
    <row r="19" spans="1:9" x14ac:dyDescent="0.25">
      <c r="A19" s="17"/>
      <c r="B19" s="18" t="e">
        <f>INDEX('Inventario Base'!A19:A68, MATCH(C19, 'Inventario Base'!C19:C68, 0))</f>
        <v>#N/A</v>
      </c>
      <c r="C19" s="17"/>
      <c r="D19" s="17"/>
      <c r="E19" s="17"/>
      <c r="F19" s="18"/>
      <c r="G19" s="17"/>
      <c r="H19" s="17"/>
      <c r="I19" s="17"/>
    </row>
    <row r="20" spans="1:9" x14ac:dyDescent="0.25">
      <c r="A20" s="17"/>
      <c r="B20" s="18" t="e">
        <f>INDEX('Inventario Base'!A20:A69, MATCH(C20, 'Inventario Base'!C20:C69, 0))</f>
        <v>#N/A</v>
      </c>
      <c r="C20" s="17"/>
      <c r="D20" s="17"/>
      <c r="E20" s="17"/>
      <c r="F20" s="18"/>
      <c r="G20" s="17"/>
      <c r="H20" s="17"/>
      <c r="I20" s="17"/>
    </row>
    <row r="21" spans="1:9" x14ac:dyDescent="0.25">
      <c r="A21" s="17"/>
      <c r="B21" s="18" t="e">
        <f>INDEX('Inventario Base'!A21:A70, MATCH(C21, 'Inventario Base'!C21:C70, 0))</f>
        <v>#N/A</v>
      </c>
      <c r="C21" s="17"/>
      <c r="D21" s="17"/>
      <c r="E21" s="17"/>
      <c r="F21" s="18"/>
      <c r="G21" s="17"/>
      <c r="H21" s="17"/>
      <c r="I21" s="17"/>
    </row>
    <row r="22" spans="1:9" x14ac:dyDescent="0.25">
      <c r="A22" s="17"/>
      <c r="B22" s="18" t="e">
        <f>INDEX('Inventario Base'!A22:A71, MATCH(C22, 'Inventario Base'!C22:C71, 0))</f>
        <v>#N/A</v>
      </c>
      <c r="C22" s="17"/>
      <c r="D22" s="17"/>
      <c r="E22" s="17"/>
      <c r="F22" s="18"/>
      <c r="G22" s="17"/>
      <c r="H22" s="17"/>
      <c r="I22" s="17"/>
    </row>
    <row r="23" spans="1:9" x14ac:dyDescent="0.25">
      <c r="A23" s="17"/>
      <c r="B23" s="18" t="e">
        <f>INDEX('Inventario Base'!A23:A72, MATCH(C23, 'Inventario Base'!C23:C72, 0))</f>
        <v>#N/A</v>
      </c>
      <c r="C23" s="17"/>
      <c r="D23" s="17"/>
      <c r="E23" s="17"/>
      <c r="F23" s="18"/>
      <c r="G23" s="17"/>
      <c r="H23" s="17"/>
      <c r="I23" s="17"/>
    </row>
    <row r="24" spans="1:9" x14ac:dyDescent="0.25">
      <c r="A24" s="17"/>
      <c r="B24" s="18" t="e">
        <f>INDEX('Inventario Base'!A24:A73, MATCH(C24, 'Inventario Base'!C24:C73, 0))</f>
        <v>#N/A</v>
      </c>
      <c r="C24" s="17"/>
      <c r="D24" s="17"/>
      <c r="E24" s="17"/>
      <c r="F24" s="18"/>
      <c r="G24" s="17"/>
      <c r="H24" s="17"/>
      <c r="I24" s="17"/>
    </row>
    <row r="25" spans="1:9" x14ac:dyDescent="0.25">
      <c r="A25" s="17"/>
      <c r="B25" s="18"/>
      <c r="C25" s="17"/>
      <c r="D25" s="17"/>
      <c r="E25" s="17"/>
      <c r="F25" s="18"/>
      <c r="G25" s="17"/>
      <c r="H25" s="17"/>
      <c r="I25" s="17"/>
    </row>
    <row r="26" spans="1:9" x14ac:dyDescent="0.25">
      <c r="A26" s="17"/>
      <c r="B26" s="18"/>
      <c r="C26" s="17"/>
      <c r="D26" s="17"/>
      <c r="E26" s="17"/>
      <c r="F26" s="18"/>
      <c r="G26" s="17"/>
      <c r="H26" s="17"/>
      <c r="I26" s="17"/>
    </row>
    <row r="27" spans="1:9" x14ac:dyDescent="0.25">
      <c r="A27" s="17"/>
      <c r="B27" s="18"/>
      <c r="C27" s="17"/>
      <c r="D27" s="17"/>
      <c r="E27" s="17"/>
      <c r="F27" s="18"/>
      <c r="G27" s="17"/>
      <c r="H27" s="17"/>
      <c r="I27" s="17"/>
    </row>
    <row r="28" spans="1:9" x14ac:dyDescent="0.25">
      <c r="A28" s="17"/>
      <c r="B28" s="18"/>
      <c r="C28" s="17"/>
      <c r="D28" s="17"/>
      <c r="E28" s="17"/>
      <c r="F28" s="18"/>
      <c r="G28" s="17"/>
      <c r="H28" s="17"/>
      <c r="I28" s="17"/>
    </row>
    <row r="29" spans="1:9" x14ac:dyDescent="0.25">
      <c r="A29" s="17"/>
      <c r="B29" s="18"/>
      <c r="C29" s="17"/>
      <c r="D29" s="17"/>
      <c r="E29" s="17"/>
      <c r="F29" s="18"/>
      <c r="G29" s="17"/>
      <c r="H29" s="17"/>
      <c r="I29" s="17"/>
    </row>
    <row r="30" spans="1:9" x14ac:dyDescent="0.25">
      <c r="A30" s="17"/>
      <c r="B30" s="18"/>
      <c r="C30" s="17"/>
      <c r="D30" s="17"/>
      <c r="E30" s="17"/>
      <c r="F30" s="18"/>
      <c r="G30" s="17"/>
      <c r="H30" s="17"/>
      <c r="I30" s="17"/>
    </row>
    <row r="31" spans="1:9" x14ac:dyDescent="0.25">
      <c r="A31" s="17"/>
      <c r="B31" s="18"/>
      <c r="C31" s="17"/>
      <c r="D31" s="17"/>
      <c r="E31" s="17"/>
      <c r="F31" s="18"/>
      <c r="G31" s="17"/>
      <c r="H31" s="17"/>
      <c r="I31" s="17"/>
    </row>
    <row r="32" spans="1:9" x14ac:dyDescent="0.25">
      <c r="A32" s="17"/>
      <c r="B32" s="18"/>
      <c r="C32" s="17"/>
      <c r="D32" s="17"/>
      <c r="E32" s="17"/>
      <c r="F32" s="18"/>
      <c r="G32" s="17"/>
      <c r="H32" s="17"/>
      <c r="I32" s="17"/>
    </row>
    <row r="33" spans="1:9" x14ac:dyDescent="0.25">
      <c r="A33" s="17"/>
      <c r="B33" s="18"/>
      <c r="C33" s="17"/>
      <c r="D33" s="17"/>
      <c r="E33" s="17"/>
      <c r="F33" s="18"/>
      <c r="G33" s="17"/>
      <c r="H33" s="17"/>
      <c r="I33" s="17"/>
    </row>
    <row r="34" spans="1:9" x14ac:dyDescent="0.25">
      <c r="A34" s="17"/>
      <c r="B34" s="18"/>
      <c r="C34" s="17"/>
      <c r="D34" s="17"/>
      <c r="E34" s="17"/>
      <c r="F34" s="18"/>
      <c r="G34" s="17"/>
      <c r="H34" s="17"/>
      <c r="I34" s="17"/>
    </row>
    <row r="35" spans="1:9" x14ac:dyDescent="0.25">
      <c r="A35" s="17"/>
      <c r="B35" s="18"/>
      <c r="C35" s="17"/>
      <c r="D35" s="17"/>
      <c r="E35" s="17"/>
      <c r="F35" s="18"/>
      <c r="G35" s="17"/>
      <c r="H35" s="17"/>
      <c r="I35" s="17"/>
    </row>
    <row r="36" spans="1:9" x14ac:dyDescent="0.25">
      <c r="A36" s="17"/>
      <c r="B36" s="18"/>
      <c r="C36" s="17"/>
      <c r="D36" s="17"/>
      <c r="E36" s="17"/>
      <c r="F36" s="18"/>
      <c r="G36" s="17"/>
      <c r="H36" s="17"/>
      <c r="I36" s="17"/>
    </row>
    <row r="37" spans="1:9" x14ac:dyDescent="0.25">
      <c r="A37" s="17"/>
      <c r="B37" s="18"/>
      <c r="C37" s="17"/>
      <c r="D37" s="17"/>
      <c r="E37" s="17"/>
      <c r="F37" s="18"/>
      <c r="G37" s="17"/>
      <c r="H37" s="17"/>
      <c r="I37" s="17"/>
    </row>
    <row r="38" spans="1:9" x14ac:dyDescent="0.25">
      <c r="A38" s="17"/>
      <c r="B38" s="18"/>
      <c r="C38" s="17"/>
      <c r="D38" s="17"/>
      <c r="E38" s="17"/>
      <c r="F38" s="18"/>
      <c r="G38" s="17"/>
      <c r="H38" s="17"/>
      <c r="I38" s="17"/>
    </row>
    <row r="39" spans="1:9" x14ac:dyDescent="0.25">
      <c r="A39" s="17"/>
      <c r="B39" s="18"/>
      <c r="C39" s="17"/>
      <c r="D39" s="17"/>
      <c r="E39" s="17"/>
      <c r="F39" s="18"/>
      <c r="G39" s="17"/>
      <c r="H39" s="17"/>
      <c r="I39" s="17"/>
    </row>
    <row r="40" spans="1:9" x14ac:dyDescent="0.25">
      <c r="A40" s="17"/>
      <c r="B40" s="18"/>
      <c r="C40" s="17"/>
      <c r="D40" s="17"/>
      <c r="E40" s="17"/>
      <c r="F40" s="18"/>
      <c r="G40" s="17"/>
      <c r="H40" s="17"/>
      <c r="I40" s="17"/>
    </row>
    <row r="41" spans="1:9" x14ac:dyDescent="0.25">
      <c r="A41" s="17"/>
      <c r="B41" s="18"/>
      <c r="C41" s="17"/>
      <c r="D41" s="17"/>
      <c r="E41" s="17"/>
      <c r="F41" s="18"/>
      <c r="G41" s="17"/>
      <c r="H41" s="17"/>
      <c r="I41" s="17"/>
    </row>
    <row r="42" spans="1:9" x14ac:dyDescent="0.25">
      <c r="A42" s="17"/>
      <c r="B42" s="18"/>
      <c r="C42" s="17"/>
      <c r="D42" s="17"/>
      <c r="E42" s="17"/>
      <c r="F42" s="18"/>
      <c r="G42" s="17"/>
      <c r="H42" s="17"/>
      <c r="I42" s="17"/>
    </row>
    <row r="43" spans="1:9" x14ac:dyDescent="0.25">
      <c r="A43" s="17"/>
      <c r="B43" s="18"/>
      <c r="C43" s="17"/>
      <c r="D43" s="17"/>
      <c r="E43" s="17"/>
      <c r="F43" s="18"/>
      <c r="G43" s="17"/>
      <c r="H43" s="17"/>
      <c r="I43" s="17"/>
    </row>
    <row r="44" spans="1:9" x14ac:dyDescent="0.25">
      <c r="A44" s="17"/>
      <c r="B44" s="18"/>
      <c r="C44" s="17"/>
      <c r="D44" s="17"/>
      <c r="E44" s="17"/>
      <c r="F44" s="18"/>
      <c r="G44" s="17"/>
      <c r="H44" s="17"/>
      <c r="I44" s="17"/>
    </row>
    <row r="45" spans="1:9" x14ac:dyDescent="0.25">
      <c r="A45" s="17"/>
      <c r="B45" s="18"/>
      <c r="C45" s="17"/>
      <c r="D45" s="17"/>
      <c r="E45" s="17"/>
      <c r="F45" s="18"/>
      <c r="G45" s="17"/>
      <c r="H45" s="17"/>
      <c r="I45" s="17"/>
    </row>
    <row r="46" spans="1:9" x14ac:dyDescent="0.25">
      <c r="A46" s="17"/>
      <c r="B46" s="18"/>
      <c r="C46" s="17"/>
      <c r="D46" s="17"/>
      <c r="E46" s="17"/>
      <c r="F46" s="18"/>
      <c r="G46" s="17"/>
      <c r="H46" s="17"/>
      <c r="I46" s="17"/>
    </row>
    <row r="47" spans="1:9" x14ac:dyDescent="0.25">
      <c r="A47" s="17"/>
      <c r="B47" s="18"/>
      <c r="C47" s="17"/>
      <c r="D47" s="17"/>
      <c r="E47" s="17"/>
      <c r="F47" s="18"/>
      <c r="G47" s="17"/>
      <c r="H47" s="17"/>
      <c r="I47" s="17"/>
    </row>
    <row r="48" spans="1:9" x14ac:dyDescent="0.25">
      <c r="A48" s="17"/>
      <c r="B48" s="18"/>
      <c r="C48" s="17"/>
      <c r="D48" s="17"/>
      <c r="E48" s="17"/>
      <c r="F48" s="18"/>
      <c r="G48" s="17"/>
      <c r="H48" s="17"/>
      <c r="I48" s="17"/>
    </row>
    <row r="49" spans="1:9" x14ac:dyDescent="0.25">
      <c r="A49" s="17"/>
      <c r="B49" s="18"/>
      <c r="C49" s="17"/>
      <c r="D49" s="17"/>
      <c r="E49" s="17"/>
      <c r="F49" s="18"/>
      <c r="G49" s="17"/>
      <c r="H49" s="17"/>
      <c r="I49" s="17"/>
    </row>
    <row r="50" spans="1:9" x14ac:dyDescent="0.25">
      <c r="A50" s="17"/>
      <c r="B50" s="18"/>
      <c r="C50" s="17"/>
      <c r="D50" s="17"/>
      <c r="E50" s="17"/>
      <c r="F50" s="18"/>
      <c r="G50" s="17"/>
      <c r="H50" s="17"/>
      <c r="I50" s="17"/>
    </row>
    <row r="51" spans="1:9" x14ac:dyDescent="0.25">
      <c r="E51" s="17"/>
    </row>
    <row r="52" spans="1:9" x14ac:dyDescent="0.25">
      <c r="E52" s="17"/>
    </row>
    <row r="53" spans="1:9" x14ac:dyDescent="0.25">
      <c r="E53" s="17"/>
    </row>
  </sheetData>
  <mergeCells count="1">
    <mergeCell ref="A1:I1"/>
  </mergeCells>
  <dataValidations count="1">
    <dataValidation type="list" allowBlank="1" showInputMessage="1" showErrorMessage="1" sqref="H2:H1048576" xr:uid="{996DC6D8-0891-417D-A28F-5BD320AA6907}">
      <formula1>"Reabastecimiento,Urgencia,Ajuste"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AB83BF5-B99F-4F37-A367-4900A3D3C606}">
          <x14:formula1>
            <xm:f>Proveedores!$A:$A</xm:f>
          </x14:formula1>
          <xm:sqref>G2:G1048576</xm:sqref>
        </x14:dataValidation>
        <x14:dataValidation type="list" allowBlank="1" showInputMessage="1" showErrorMessage="1" xr:uid="{E14D7827-B400-4163-8763-437277B95DF7}">
          <x14:formula1>
            <xm:f>'Inventario Base'!$C:$C</xm:f>
          </x14:formula1>
          <xm:sqref>C2:C1048576</xm:sqref>
        </x14:dataValidation>
        <x14:dataValidation type="list" allowBlank="1" showInputMessage="1" showErrorMessage="1" xr:uid="{68CF1142-FE90-4FC8-8FCD-21D24A765E35}">
          <x14:formula1>
            <xm:f>'RAW DATA PROYECTS'!$A:$A</xm:f>
          </x14:formula1>
          <xm:sqref>F2:F1048576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8" customWidth="1"/>
    <col min="4" max="4" width="15" customWidth="1"/>
    <col min="5" max="5" width="25" customWidth="1"/>
    <col min="6" max="6" width="15" customWidth="1"/>
    <col min="7" max="9" width="12" customWidth="1"/>
    <col min="10" max="10" width="30" customWidth="1"/>
  </cols>
  <sheetData>
    <row r="1" spans="1:10" x14ac:dyDescent="0.3">
      <c r="A1" s="2" t="s">
        <v>13</v>
      </c>
      <c r="B1" s="2" t="s">
        <v>6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81</v>
      </c>
      <c r="I1" s="2" t="s">
        <v>19</v>
      </c>
      <c r="J1" s="2" t="s">
        <v>3</v>
      </c>
    </row>
    <row r="2" spans="1:10" x14ac:dyDescent="0.3">
      <c r="A2" s="1" t="s">
        <v>399</v>
      </c>
      <c r="B2" s="1" t="s">
        <v>10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/>
      <c r="I2" s="1" t="s">
        <v>25</v>
      </c>
      <c r="J2" s="1" t="s">
        <v>26</v>
      </c>
    </row>
    <row r="3" spans="1:10" x14ac:dyDescent="0.3">
      <c r="A3" s="1" t="s">
        <v>400</v>
      </c>
      <c r="B3" s="1" t="s">
        <v>27</v>
      </c>
      <c r="C3" s="1" t="s">
        <v>28</v>
      </c>
      <c r="D3" s="1" t="s">
        <v>29</v>
      </c>
      <c r="E3" s="6" t="s">
        <v>30</v>
      </c>
      <c r="F3" s="1" t="s">
        <v>31</v>
      </c>
      <c r="G3" s="1" t="s">
        <v>32</v>
      </c>
      <c r="H3" s="1"/>
      <c r="I3" s="1" t="s">
        <v>33</v>
      </c>
      <c r="J3" s="1" t="s">
        <v>34</v>
      </c>
    </row>
    <row r="4" spans="1:10" x14ac:dyDescent="0.3">
      <c r="A4" s="1"/>
      <c r="B4" s="1" t="s">
        <v>11</v>
      </c>
      <c r="C4" s="1" t="s">
        <v>35</v>
      </c>
      <c r="D4" s="1" t="s">
        <v>36</v>
      </c>
      <c r="E4" s="1" t="s">
        <v>37</v>
      </c>
      <c r="F4" s="1" t="s">
        <v>23</v>
      </c>
      <c r="G4" s="1" t="s">
        <v>38</v>
      </c>
      <c r="H4" s="1"/>
      <c r="I4" s="1" t="s">
        <v>39</v>
      </c>
      <c r="J4" s="1" t="s">
        <v>40</v>
      </c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dataValidations count="2">
    <dataValidation type="list" allowBlank="1" sqref="I2:I1000" xr:uid="{00000000-0002-0000-0200-000000000000}">
      <formula1>"1 estrella,2 estrellas,3 estrellas,4 estrellas,5 estrellas"</formula1>
    </dataValidation>
    <dataValidation type="list" allowBlank="1" showInputMessage="1" showErrorMessage="1" sqref="H1:H1048576" xr:uid="{F2F98178-5DB0-4670-B18F-61AD8647D69D}">
      <formula1>"Pintura, Insumos, Madera, "</formula1>
    </dataValidation>
  </dataValidations>
  <hyperlinks>
    <hyperlink ref="E3" r:id="rId1" xr:uid="{EC3281BF-D69C-4294-8E73-AB9B64926217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>
      <selection activeCell="A5" sqref="A5"/>
    </sheetView>
  </sheetViews>
  <sheetFormatPr baseColWidth="10" defaultColWidth="8.88671875" defaultRowHeight="14.4" x14ac:dyDescent="0.3"/>
  <cols>
    <col min="1" max="1" width="80" customWidth="1"/>
  </cols>
  <sheetData>
    <row r="1" spans="1:1" ht="21" x14ac:dyDescent="0.4">
      <c r="A1" s="3" t="s">
        <v>41</v>
      </c>
    </row>
    <row r="2" spans="1:1" x14ac:dyDescent="0.3">
      <c r="A2" s="4"/>
    </row>
    <row r="3" spans="1:1" ht="15.6" x14ac:dyDescent="0.3">
      <c r="A3" s="5" t="s">
        <v>42</v>
      </c>
    </row>
    <row r="4" spans="1:1" x14ac:dyDescent="0.3">
      <c r="A4" s="4"/>
    </row>
    <row r="5" spans="1:1" ht="15.6" x14ac:dyDescent="0.3">
      <c r="A5" s="5" t="s">
        <v>43</v>
      </c>
    </row>
    <row r="6" spans="1:1" x14ac:dyDescent="0.3">
      <c r="A6" s="4" t="s">
        <v>44</v>
      </c>
    </row>
    <row r="7" spans="1:1" x14ac:dyDescent="0.3">
      <c r="A7" s="4" t="s">
        <v>45</v>
      </c>
    </row>
    <row r="8" spans="1:1" x14ac:dyDescent="0.3">
      <c r="A8" s="4" t="s">
        <v>46</v>
      </c>
    </row>
    <row r="9" spans="1:1" x14ac:dyDescent="0.3">
      <c r="A9" s="4"/>
    </row>
    <row r="10" spans="1:1" ht="15.6" x14ac:dyDescent="0.3">
      <c r="A10" s="5" t="s">
        <v>47</v>
      </c>
    </row>
    <row r="11" spans="1:1" x14ac:dyDescent="0.3">
      <c r="A11" s="4" t="s">
        <v>48</v>
      </c>
    </row>
    <row r="12" spans="1:1" x14ac:dyDescent="0.3">
      <c r="A12" s="4" t="s">
        <v>49</v>
      </c>
    </row>
    <row r="13" spans="1:1" x14ac:dyDescent="0.3">
      <c r="A13" s="4" t="s">
        <v>50</v>
      </c>
    </row>
    <row r="14" spans="1:1" x14ac:dyDescent="0.3">
      <c r="A14" s="4"/>
    </row>
    <row r="15" spans="1:1" ht="15.6" x14ac:dyDescent="0.3">
      <c r="A15" s="5" t="s">
        <v>51</v>
      </c>
    </row>
    <row r="16" spans="1:1" x14ac:dyDescent="0.3">
      <c r="A16" s="4" t="s">
        <v>52</v>
      </c>
    </row>
    <row r="17" spans="1:1" x14ac:dyDescent="0.3">
      <c r="A17" s="4" t="s">
        <v>53</v>
      </c>
    </row>
    <row r="18" spans="1:1" x14ac:dyDescent="0.3">
      <c r="A18" s="4" t="s">
        <v>54</v>
      </c>
    </row>
    <row r="19" spans="1:1" x14ac:dyDescent="0.3">
      <c r="A19" s="4"/>
    </row>
    <row r="20" spans="1:1" ht="15.6" x14ac:dyDescent="0.3">
      <c r="A20" s="5" t="s">
        <v>55</v>
      </c>
    </row>
    <row r="21" spans="1:1" x14ac:dyDescent="0.3">
      <c r="A21" s="4" t="s">
        <v>56</v>
      </c>
    </row>
    <row r="22" spans="1:1" x14ac:dyDescent="0.3">
      <c r="A22" s="4" t="s">
        <v>57</v>
      </c>
    </row>
    <row r="23" spans="1:1" x14ac:dyDescent="0.3">
      <c r="A23" s="4" t="s">
        <v>58</v>
      </c>
    </row>
    <row r="24" spans="1:1" x14ac:dyDescent="0.3">
      <c r="A24" s="4" t="s">
        <v>59</v>
      </c>
    </row>
    <row r="25" spans="1:1" x14ac:dyDescent="0.3">
      <c r="A25" s="4"/>
    </row>
    <row r="26" spans="1:1" x14ac:dyDescent="0.3">
      <c r="A26" s="4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OPERATIONS BRAIN</vt:lpstr>
      <vt:lpstr>LISTA DE PENDIENTES</vt:lpstr>
      <vt:lpstr>Estado de Proyectos</vt:lpstr>
      <vt:lpstr>Bitacora</vt:lpstr>
      <vt:lpstr>RAW DATA PROYECTS</vt:lpstr>
      <vt:lpstr>Calculos Material</vt:lpstr>
      <vt:lpstr>Consumo Material</vt:lpstr>
      <vt:lpstr>Inventario Base</vt:lpstr>
      <vt:lpstr>Inventario E-S</vt:lpstr>
      <vt:lpstr>Proveedores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 Vargas Barron</cp:lastModifiedBy>
  <dcterms:created xsi:type="dcterms:W3CDTF">2025-12-15T02:54:03Z</dcterms:created>
  <dcterms:modified xsi:type="dcterms:W3CDTF">2026-03-28T22:31:56Z</dcterms:modified>
</cp:coreProperties>
</file>